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 lenovo\AppData\Local\Temp\claude\D--01-Projects-QLDA\c286fb68-01ed-4e9e-9062-113eec1afdfe\scratchpad\p3\"/>
    </mc:Choice>
  </mc:AlternateContent>
  <xr:revisionPtr revIDLastSave="0" documentId="8_{A7AFD61A-4C30-4A15-A0ED-6F3493AE1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BS" sheetId="1" r:id="rId1"/>
    <sheet name="Hoạt động, lịch" sheetId="2" r:id="rId2"/>
    <sheet name="Gantt" sheetId="3" r:id="rId3"/>
    <sheet name="Nguồn lực" sheetId="4" r:id="rId4"/>
    <sheet name="Chi phí" sheetId="5" r:id="rId5"/>
    <sheet name="Cost baseline" sheetId="6" r:id="rId6"/>
    <sheet name="Dòng tiền" sheetId="7" r:id="rId7"/>
    <sheet name="EVM" sheetId="8" r:id="rId8"/>
    <sheet name="Thay đổi" sheetId="9" r:id="rId9"/>
    <sheet name="Nhất quán" sheetId="10" r:id="rId10"/>
  </sheets>
  <definedNames>
    <definedName name="_xlnm.Print_Area" localSheetId="4">'Chi phí'!$B$1:$R$119</definedName>
    <definedName name="_xlnm.Print_Area" localSheetId="5">'Cost baseline'!$B$1:$AB$45</definedName>
    <definedName name="_xlnm.Print_Area" localSheetId="6">'Dòng tiền'!$B$1:$H$51</definedName>
    <definedName name="_xlnm.Print_Area" localSheetId="7">EVM!$B$1:$N$111</definedName>
    <definedName name="_xlnm.Print_Area" localSheetId="2">Gantt!$B$1:$AE$27</definedName>
    <definedName name="_xlnm.Print_Area" localSheetId="1">'Hoạt động, lịch'!$B$1:$U$36</definedName>
    <definedName name="_xlnm.Print_Area" localSheetId="3">'Nguồn lực'!$B$1:$I$22</definedName>
    <definedName name="_xlnm.Print_Area" localSheetId="9">'Nhất quán'!$B$1:$G$38</definedName>
    <definedName name="_xlnm.Print_Area" localSheetId="8">'Thay đổi'!$B$1:$H$62</definedName>
    <definedName name="_xlnm.Print_Area" localSheetId="0">WBS!$B$1:$I$44</definedName>
    <definedName name="_xlnm.Print_Titles" localSheetId="2">Gantt!$3:$4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0" l="1"/>
  <c r="E28" i="10" s="1"/>
  <c r="F28" i="10" s="1"/>
  <c r="D27" i="10"/>
  <c r="E27" i="10" s="1"/>
  <c r="F27" i="10" s="1"/>
  <c r="D26" i="10"/>
  <c r="E26" i="10" s="1"/>
  <c r="F26" i="10" s="1"/>
  <c r="D7" i="10"/>
  <c r="E7" i="10" s="1"/>
  <c r="F7" i="10" s="1"/>
  <c r="D30" i="9"/>
  <c r="H21" i="9"/>
  <c r="G20" i="9"/>
  <c r="F19" i="9"/>
  <c r="G19" i="9" s="1"/>
  <c r="F18" i="9"/>
  <c r="G18" i="9" s="1"/>
  <c r="F17" i="9"/>
  <c r="G17" i="9" s="1"/>
  <c r="F16" i="9"/>
  <c r="G16" i="9" s="1"/>
  <c r="F15" i="9"/>
  <c r="G15" i="9" s="1"/>
  <c r="E86" i="8"/>
  <c r="D86" i="8"/>
  <c r="D73" i="8"/>
  <c r="D70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D10" i="8"/>
  <c r="D7" i="8"/>
  <c r="D6" i="8"/>
  <c r="F39" i="7"/>
  <c r="E39" i="7"/>
  <c r="D39" i="7"/>
  <c r="C39" i="7"/>
  <c r="F33" i="7"/>
  <c r="F34" i="7" s="1"/>
  <c r="F40" i="7" s="1"/>
  <c r="E33" i="7"/>
  <c r="D33" i="7"/>
  <c r="C33" i="7"/>
  <c r="F32" i="7"/>
  <c r="E32" i="7"/>
  <c r="D32" i="7"/>
  <c r="G32" i="7" s="1"/>
  <c r="C32" i="7"/>
  <c r="F31" i="7"/>
  <c r="E31" i="7"/>
  <c r="D31" i="7"/>
  <c r="C31" i="7"/>
  <c r="G31" i="7" s="1"/>
  <c r="F30" i="7"/>
  <c r="E30" i="7"/>
  <c r="D30" i="7"/>
  <c r="C30" i="7"/>
  <c r="G30" i="7" s="1"/>
  <c r="C21" i="7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I118" i="5"/>
  <c r="H118" i="5"/>
  <c r="G118" i="5"/>
  <c r="E118" i="5"/>
  <c r="D118" i="5"/>
  <c r="C118" i="5"/>
  <c r="I117" i="5"/>
  <c r="H117" i="5"/>
  <c r="G117" i="5"/>
  <c r="E117" i="5"/>
  <c r="D117" i="5"/>
  <c r="C117" i="5"/>
  <c r="I116" i="5"/>
  <c r="H116" i="5"/>
  <c r="G116" i="5"/>
  <c r="E116" i="5"/>
  <c r="D116" i="5"/>
  <c r="C116" i="5"/>
  <c r="I115" i="5"/>
  <c r="G115" i="5"/>
  <c r="E115" i="5"/>
  <c r="D115" i="5"/>
  <c r="C115" i="5"/>
  <c r="I114" i="5"/>
  <c r="G114" i="5"/>
  <c r="E114" i="5"/>
  <c r="D114" i="5"/>
  <c r="C114" i="5"/>
  <c r="H113" i="5"/>
  <c r="G113" i="5"/>
  <c r="E113" i="5"/>
  <c r="D113" i="5"/>
  <c r="C113" i="5"/>
  <c r="H112" i="5"/>
  <c r="G112" i="5"/>
  <c r="E112" i="5"/>
  <c r="D112" i="5"/>
  <c r="C112" i="5"/>
  <c r="I111" i="5"/>
  <c r="H111" i="5"/>
  <c r="G111" i="5"/>
  <c r="E111" i="5"/>
  <c r="D111" i="5"/>
  <c r="C111" i="5"/>
  <c r="I110" i="5"/>
  <c r="G110" i="5"/>
  <c r="E110" i="5"/>
  <c r="D110" i="5"/>
  <c r="C110" i="5"/>
  <c r="I109" i="5"/>
  <c r="H109" i="5"/>
  <c r="G109" i="5"/>
  <c r="E109" i="5"/>
  <c r="D109" i="5"/>
  <c r="C109" i="5"/>
  <c r="I108" i="5"/>
  <c r="H108" i="5"/>
  <c r="G108" i="5"/>
  <c r="E108" i="5"/>
  <c r="D108" i="5"/>
  <c r="C108" i="5"/>
  <c r="I107" i="5"/>
  <c r="H107" i="5"/>
  <c r="E107" i="5"/>
  <c r="D107" i="5"/>
  <c r="C107" i="5"/>
  <c r="I106" i="5"/>
  <c r="H106" i="5"/>
  <c r="E106" i="5"/>
  <c r="D106" i="5"/>
  <c r="C106" i="5"/>
  <c r="I105" i="5"/>
  <c r="G105" i="5"/>
  <c r="E105" i="5"/>
  <c r="D105" i="5"/>
  <c r="C105" i="5"/>
  <c r="I104" i="5"/>
  <c r="G104" i="5"/>
  <c r="E104" i="5"/>
  <c r="D104" i="5"/>
  <c r="C104" i="5"/>
  <c r="I103" i="5"/>
  <c r="G103" i="5"/>
  <c r="E103" i="5"/>
  <c r="D103" i="5"/>
  <c r="C103" i="5"/>
  <c r="I102" i="5"/>
  <c r="H102" i="5"/>
  <c r="G102" i="5"/>
  <c r="E102" i="5"/>
  <c r="D102" i="5"/>
  <c r="C102" i="5"/>
  <c r="I101" i="5"/>
  <c r="H101" i="5"/>
  <c r="G101" i="5"/>
  <c r="E101" i="5"/>
  <c r="D101" i="5"/>
  <c r="C101" i="5"/>
  <c r="I100" i="5"/>
  <c r="H100" i="5"/>
  <c r="G100" i="5"/>
  <c r="E100" i="5"/>
  <c r="D100" i="5"/>
  <c r="C100" i="5"/>
  <c r="I99" i="5"/>
  <c r="H99" i="5"/>
  <c r="G99" i="5"/>
  <c r="E99" i="5"/>
  <c r="D99" i="5"/>
  <c r="C99" i="5"/>
  <c r="I98" i="5"/>
  <c r="H98" i="5"/>
  <c r="G98" i="5"/>
  <c r="E98" i="5"/>
  <c r="D98" i="5"/>
  <c r="C98" i="5"/>
  <c r="I97" i="5"/>
  <c r="H97" i="5"/>
  <c r="G97" i="5"/>
  <c r="E97" i="5"/>
  <c r="D97" i="5"/>
  <c r="C97" i="5"/>
  <c r="I96" i="5"/>
  <c r="H96" i="5"/>
  <c r="G96" i="5"/>
  <c r="E96" i="5"/>
  <c r="D96" i="5"/>
  <c r="C96" i="5"/>
  <c r="I95" i="5"/>
  <c r="H95" i="5"/>
  <c r="G95" i="5"/>
  <c r="E95" i="5"/>
  <c r="D95" i="5"/>
  <c r="C95" i="5"/>
  <c r="I94" i="5"/>
  <c r="H94" i="5"/>
  <c r="G94" i="5"/>
  <c r="E94" i="5"/>
  <c r="D94" i="5"/>
  <c r="C94" i="5"/>
  <c r="J78" i="5"/>
  <c r="D18" i="10" s="1"/>
  <c r="E18" i="10" s="1"/>
  <c r="F18" i="10" s="1"/>
  <c r="J68" i="5"/>
  <c r="J67" i="5"/>
  <c r="J66" i="5"/>
  <c r="J65" i="5"/>
  <c r="I64" i="5"/>
  <c r="J64" i="5" s="1"/>
  <c r="C64" i="5"/>
  <c r="I63" i="5"/>
  <c r="J63" i="5" s="1"/>
  <c r="C63" i="5"/>
  <c r="I62" i="5"/>
  <c r="J62" i="5" s="1"/>
  <c r="C62" i="5"/>
  <c r="I61" i="5"/>
  <c r="J61" i="5" s="1"/>
  <c r="C61" i="5"/>
  <c r="I60" i="5"/>
  <c r="J60" i="5" s="1"/>
  <c r="C60" i="5"/>
  <c r="I59" i="5"/>
  <c r="J59" i="5" s="1"/>
  <c r="C59" i="5"/>
  <c r="J58" i="5"/>
  <c r="C58" i="5"/>
  <c r="I57" i="5"/>
  <c r="J57" i="5" s="1"/>
  <c r="C57" i="5"/>
  <c r="I56" i="5"/>
  <c r="J56" i="5" s="1"/>
  <c r="C56" i="5"/>
  <c r="J55" i="5"/>
  <c r="C55" i="5"/>
  <c r="I54" i="5"/>
  <c r="J54" i="5" s="1"/>
  <c r="F114" i="5" s="1"/>
  <c r="C54" i="5"/>
  <c r="J53" i="5"/>
  <c r="I53" i="5"/>
  <c r="C53" i="5"/>
  <c r="J52" i="5"/>
  <c r="C52" i="5"/>
  <c r="J51" i="5"/>
  <c r="I113" i="5" s="1"/>
  <c r="C51" i="5"/>
  <c r="I50" i="5"/>
  <c r="J50" i="5" s="1"/>
  <c r="C50" i="5"/>
  <c r="J49" i="5"/>
  <c r="C49" i="5"/>
  <c r="J48" i="5"/>
  <c r="C48" i="5"/>
  <c r="I47" i="5"/>
  <c r="J47" i="5" s="1"/>
  <c r="C47" i="5"/>
  <c r="I46" i="5"/>
  <c r="J46" i="5" s="1"/>
  <c r="C46" i="5"/>
  <c r="I45" i="5"/>
  <c r="J45" i="5" s="1"/>
  <c r="C45" i="5"/>
  <c r="I44" i="5"/>
  <c r="J44" i="5" s="1"/>
  <c r="C44" i="5"/>
  <c r="I43" i="5"/>
  <c r="J43" i="5" s="1"/>
  <c r="C43" i="5"/>
  <c r="J42" i="5"/>
  <c r="C42" i="5"/>
  <c r="I41" i="5"/>
  <c r="J41" i="5" s="1"/>
  <c r="C41" i="5"/>
  <c r="I40" i="5"/>
  <c r="J40" i="5" s="1"/>
  <c r="C40" i="5"/>
  <c r="I39" i="5"/>
  <c r="J39" i="5" s="1"/>
  <c r="F109" i="5" s="1"/>
  <c r="C39" i="5"/>
  <c r="I38" i="5"/>
  <c r="J38" i="5" s="1"/>
  <c r="C38" i="5"/>
  <c r="C37" i="5"/>
  <c r="I36" i="5"/>
  <c r="J36" i="5" s="1"/>
  <c r="C36" i="5"/>
  <c r="J35" i="5"/>
  <c r="C35" i="5"/>
  <c r="C34" i="5"/>
  <c r="I33" i="5"/>
  <c r="J33" i="5" s="1"/>
  <c r="C33" i="5"/>
  <c r="J32" i="5"/>
  <c r="C32" i="5"/>
  <c r="I31" i="5"/>
  <c r="J31" i="5" s="1"/>
  <c r="C31" i="5"/>
  <c r="J30" i="5"/>
  <c r="C30" i="5"/>
  <c r="J29" i="5"/>
  <c r="C29" i="5"/>
  <c r="J28" i="5"/>
  <c r="C28" i="5"/>
  <c r="J27" i="5"/>
  <c r="C27" i="5"/>
  <c r="I26" i="5"/>
  <c r="J26" i="5" s="1"/>
  <c r="C26" i="5"/>
  <c r="J25" i="5"/>
  <c r="C25" i="5"/>
  <c r="J24" i="5"/>
  <c r="C24" i="5"/>
  <c r="I23" i="5"/>
  <c r="J23" i="5" s="1"/>
  <c r="C23" i="5"/>
  <c r="I22" i="5"/>
  <c r="J22" i="5" s="1"/>
  <c r="C22" i="5"/>
  <c r="I21" i="5"/>
  <c r="J21" i="5" s="1"/>
  <c r="C21" i="5"/>
  <c r="I20" i="5"/>
  <c r="J20" i="5" s="1"/>
  <c r="C20" i="5"/>
  <c r="I19" i="5"/>
  <c r="J19" i="5" s="1"/>
  <c r="C19" i="5"/>
  <c r="I18" i="5"/>
  <c r="J18" i="5" s="1"/>
  <c r="C18" i="5"/>
  <c r="I17" i="5"/>
  <c r="J17" i="5" s="1"/>
  <c r="C17" i="5"/>
  <c r="I16" i="5"/>
  <c r="J16" i="5" s="1"/>
  <c r="C16" i="5"/>
  <c r="I15" i="5"/>
  <c r="J15" i="5" s="1"/>
  <c r="F99" i="5" s="1"/>
  <c r="C15" i="5"/>
  <c r="I14" i="5"/>
  <c r="J14" i="5" s="1"/>
  <c r="C14" i="5"/>
  <c r="I13" i="5"/>
  <c r="J13" i="5" s="1"/>
  <c r="F98" i="5" s="1"/>
  <c r="J98" i="5" s="1"/>
  <c r="C13" i="5"/>
  <c r="I12" i="5"/>
  <c r="J12" i="5" s="1"/>
  <c r="C12" i="5"/>
  <c r="I11" i="5"/>
  <c r="J11" i="5" s="1"/>
  <c r="C11" i="5"/>
  <c r="I10" i="5"/>
  <c r="J10" i="5" s="1"/>
  <c r="C10" i="5"/>
  <c r="J9" i="5"/>
  <c r="I9" i="5"/>
  <c r="C9" i="5"/>
  <c r="I8" i="5"/>
  <c r="J8" i="5" s="1"/>
  <c r="C8" i="5"/>
  <c r="I7" i="5"/>
  <c r="J7" i="5" s="1"/>
  <c r="C7" i="5"/>
  <c r="I6" i="5"/>
  <c r="J6" i="5" s="1"/>
  <c r="C6" i="5"/>
  <c r="I5" i="5"/>
  <c r="J5" i="5" s="1"/>
  <c r="C5" i="5"/>
  <c r="F21" i="4"/>
  <c r="F20" i="4"/>
  <c r="F19" i="4"/>
  <c r="F18" i="4"/>
  <c r="F17" i="4"/>
  <c r="F16" i="4"/>
  <c r="F15" i="4"/>
  <c r="E24" i="3"/>
  <c r="C24" i="3"/>
  <c r="B24" i="3"/>
  <c r="E23" i="3"/>
  <c r="C23" i="3"/>
  <c r="B23" i="3"/>
  <c r="E22" i="3"/>
  <c r="C22" i="3"/>
  <c r="B22" i="3"/>
  <c r="E21" i="3"/>
  <c r="C21" i="3"/>
  <c r="B21" i="3"/>
  <c r="E20" i="3"/>
  <c r="C20" i="3"/>
  <c r="B20" i="3"/>
  <c r="E19" i="3"/>
  <c r="C19" i="3"/>
  <c r="B19" i="3"/>
  <c r="E18" i="3"/>
  <c r="C18" i="3"/>
  <c r="B18" i="3"/>
  <c r="E17" i="3"/>
  <c r="C17" i="3"/>
  <c r="B17" i="3"/>
  <c r="E16" i="3"/>
  <c r="C16" i="3"/>
  <c r="B16" i="3"/>
  <c r="E15" i="3"/>
  <c r="C15" i="3"/>
  <c r="B15" i="3"/>
  <c r="E14" i="3"/>
  <c r="C14" i="3"/>
  <c r="B14" i="3"/>
  <c r="C13" i="3"/>
  <c r="B13" i="3"/>
  <c r="E12" i="3"/>
  <c r="C12" i="3"/>
  <c r="B12" i="3"/>
  <c r="E11" i="3"/>
  <c r="C11" i="3"/>
  <c r="B11" i="3"/>
  <c r="C10" i="3"/>
  <c r="B10" i="3"/>
  <c r="C9" i="3"/>
  <c r="B9" i="3"/>
  <c r="E8" i="3"/>
  <c r="C8" i="3"/>
  <c r="B8" i="3"/>
  <c r="E7" i="3"/>
  <c r="C7" i="3"/>
  <c r="B7" i="3"/>
  <c r="E6" i="3"/>
  <c r="C6" i="3"/>
  <c r="B6" i="3"/>
  <c r="E5" i="3"/>
  <c r="C5" i="3"/>
  <c r="B5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I14" i="2"/>
  <c r="E13" i="3" s="1"/>
  <c r="J13" i="2"/>
  <c r="J12" i="2"/>
  <c r="J11" i="2"/>
  <c r="I11" i="2"/>
  <c r="E10" i="3" s="1"/>
  <c r="J10" i="2"/>
  <c r="I10" i="2"/>
  <c r="J9" i="2"/>
  <c r="J8" i="2"/>
  <c r="J7" i="2"/>
  <c r="J6" i="2"/>
  <c r="L5" i="2"/>
  <c r="M5" i="2" s="1"/>
  <c r="J5" i="2"/>
  <c r="G44" i="1"/>
  <c r="G43" i="1"/>
  <c r="G41" i="1"/>
  <c r="G40" i="1"/>
  <c r="G39" i="1"/>
  <c r="G36" i="1"/>
  <c r="G35" i="1"/>
  <c r="G33" i="1"/>
  <c r="G32" i="1"/>
  <c r="G30" i="1"/>
  <c r="G29" i="1"/>
  <c r="G26" i="1"/>
  <c r="G24" i="1"/>
  <c r="G19" i="1"/>
  <c r="G18" i="1"/>
  <c r="G16" i="1"/>
  <c r="G15" i="1"/>
  <c r="F108" i="5" l="1"/>
  <c r="J108" i="5" s="1"/>
  <c r="D30" i="8"/>
  <c r="D33" i="8"/>
  <c r="J99" i="5"/>
  <c r="J109" i="5"/>
  <c r="F22" i="4"/>
  <c r="I34" i="5" s="1"/>
  <c r="J34" i="5" s="1"/>
  <c r="D28" i="8" s="1"/>
  <c r="S5" i="2"/>
  <c r="R8" i="5"/>
  <c r="T5" i="2"/>
  <c r="G23" i="1"/>
  <c r="G27" i="1"/>
  <c r="G33" i="7"/>
  <c r="O11" i="5"/>
  <c r="N11" i="5"/>
  <c r="M11" i="5"/>
  <c r="F97" i="5"/>
  <c r="J97" i="5" s="1"/>
  <c r="R11" i="5"/>
  <c r="Q11" i="5"/>
  <c r="D19" i="8"/>
  <c r="P11" i="5"/>
  <c r="I37" i="5"/>
  <c r="J37" i="5" s="1"/>
  <c r="E9" i="3"/>
  <c r="G21" i="1"/>
  <c r="N14" i="5"/>
  <c r="R65" i="5"/>
  <c r="U5" i="2"/>
  <c r="L6" i="2"/>
  <c r="K15" i="5" s="1"/>
  <c r="F100" i="5"/>
  <c r="J100" i="5" s="1"/>
  <c r="M66" i="5"/>
  <c r="P12" i="5"/>
  <c r="R12" i="5"/>
  <c r="Q12" i="5"/>
  <c r="O12" i="5"/>
  <c r="N12" i="5"/>
  <c r="R9" i="5"/>
  <c r="D24" i="8"/>
  <c r="F102" i="5"/>
  <c r="J102" i="5" s="1"/>
  <c r="H104" i="5"/>
  <c r="F106" i="5"/>
  <c r="P10" i="5"/>
  <c r="P14" i="5"/>
  <c r="M7" i="5"/>
  <c r="D17" i="8"/>
  <c r="F95" i="5"/>
  <c r="J95" i="5" s="1"/>
  <c r="O7" i="5"/>
  <c r="N7" i="5"/>
  <c r="R7" i="5"/>
  <c r="P7" i="5"/>
  <c r="F103" i="5"/>
  <c r="D25" i="8"/>
  <c r="O55" i="5"/>
  <c r="M68" i="5"/>
  <c r="Q65" i="5"/>
  <c r="P8" i="5"/>
  <c r="R68" i="5"/>
  <c r="P65" i="5"/>
  <c r="P68" i="5"/>
  <c r="N65" i="5"/>
  <c r="O68" i="5"/>
  <c r="N68" i="5"/>
  <c r="R58" i="5"/>
  <c r="N67" i="5"/>
  <c r="Q13" i="5"/>
  <c r="Q58" i="5"/>
  <c r="M67" i="5"/>
  <c r="P58" i="5"/>
  <c r="N58" i="5"/>
  <c r="M58" i="5"/>
  <c r="M12" i="5"/>
  <c r="F117" i="5"/>
  <c r="J117" i="5" s="1"/>
  <c r="O14" i="5"/>
  <c r="D31" i="8"/>
  <c r="Q8" i="5"/>
  <c r="F111" i="5"/>
  <c r="J111" i="5" s="1"/>
  <c r="D26" i="8"/>
  <c r="F104" i="5"/>
  <c r="J104" i="5" s="1"/>
  <c r="M14" i="5"/>
  <c r="O66" i="5"/>
  <c r="J74" i="5"/>
  <c r="Q66" i="5"/>
  <c r="R66" i="5"/>
  <c r="P66" i="5"/>
  <c r="P6" i="5"/>
  <c r="N6" i="5"/>
  <c r="M6" i="5"/>
  <c r="R6" i="5"/>
  <c r="Q6" i="5"/>
  <c r="O6" i="5"/>
  <c r="Q14" i="5"/>
  <c r="N66" i="5"/>
  <c r="R14" i="5"/>
  <c r="Q7" i="5"/>
  <c r="D21" i="8"/>
  <c r="F118" i="5"/>
  <c r="J118" i="5" s="1"/>
  <c r="F36" i="7"/>
  <c r="F37" i="7" s="1"/>
  <c r="F41" i="7" s="1"/>
  <c r="F42" i="7" s="1"/>
  <c r="E36" i="7"/>
  <c r="E37" i="7" s="1"/>
  <c r="E41" i="7" s="1"/>
  <c r="D36" i="7"/>
  <c r="D34" i="7"/>
  <c r="Q9" i="5"/>
  <c r="R67" i="5"/>
  <c r="P67" i="5"/>
  <c r="Q67" i="5"/>
  <c r="O67" i="5"/>
  <c r="E34" i="7"/>
  <c r="C34" i="7"/>
  <c r="M55" i="5"/>
  <c r="R55" i="5"/>
  <c r="H114" i="5"/>
  <c r="J114" i="5" s="1"/>
  <c r="P55" i="5"/>
  <c r="D20" i="8"/>
  <c r="R13" i="5"/>
  <c r="O13" i="5"/>
  <c r="N13" i="5"/>
  <c r="M13" i="5"/>
  <c r="P13" i="5"/>
  <c r="Q55" i="5"/>
  <c r="G21" i="9"/>
  <c r="F107" i="5"/>
  <c r="O9" i="5"/>
  <c r="N9" i="5"/>
  <c r="M9" i="5"/>
  <c r="D18" i="8"/>
  <c r="F96" i="5"/>
  <c r="J96" i="5" s="1"/>
  <c r="P9" i="5"/>
  <c r="N55" i="5"/>
  <c r="D23" i="8"/>
  <c r="F101" i="5"/>
  <c r="J101" i="5" s="1"/>
  <c r="O25" i="5"/>
  <c r="F105" i="5"/>
  <c r="D27" i="8"/>
  <c r="F115" i="5"/>
  <c r="O5" i="5"/>
  <c r="M5" i="5"/>
  <c r="D16" i="8"/>
  <c r="N10" i="5"/>
  <c r="P5" i="5"/>
  <c r="O10" i="5"/>
  <c r="H105" i="5"/>
  <c r="H119" i="5" s="1"/>
  <c r="I112" i="5"/>
  <c r="J73" i="5"/>
  <c r="D22" i="10" s="1"/>
  <c r="E22" i="10" s="1"/>
  <c r="F22" i="10" s="1"/>
  <c r="M25" i="5"/>
  <c r="R25" i="5"/>
  <c r="D22" i="8"/>
  <c r="N25" i="5"/>
  <c r="D32" i="8"/>
  <c r="F112" i="5"/>
  <c r="Q5" i="5"/>
  <c r="O8" i="5"/>
  <c r="M8" i="5"/>
  <c r="P25" i="5"/>
  <c r="E119" i="5"/>
  <c r="F113" i="5"/>
  <c r="J113" i="5" s="1"/>
  <c r="R10" i="5"/>
  <c r="M10" i="5"/>
  <c r="N5" i="5"/>
  <c r="R5" i="5"/>
  <c r="N8" i="5"/>
  <c r="Q10" i="5"/>
  <c r="Q25" i="5"/>
  <c r="F94" i="5"/>
  <c r="H103" i="5"/>
  <c r="J70" i="5"/>
  <c r="F116" i="5"/>
  <c r="J116" i="5" s="1"/>
  <c r="F110" i="5"/>
  <c r="J72" i="5"/>
  <c r="D21" i="10" s="1"/>
  <c r="E21" i="10" s="1"/>
  <c r="F21" i="10" s="1"/>
  <c r="H110" i="5"/>
  <c r="H115" i="5"/>
  <c r="O58" i="5"/>
  <c r="O65" i="5"/>
  <c r="M65" i="5"/>
  <c r="I119" i="5"/>
  <c r="Q68" i="5"/>
  <c r="J112" i="5" l="1"/>
  <c r="J110" i="5"/>
  <c r="J105" i="5"/>
  <c r="J103" i="5"/>
  <c r="J115" i="5"/>
  <c r="F38" i="7"/>
  <c r="P74" i="5"/>
  <c r="I13" i="6" s="1"/>
  <c r="M74" i="5"/>
  <c r="C13" i="6" s="1"/>
  <c r="G36" i="7"/>
  <c r="D37" i="7"/>
  <c r="D41" i="7" s="1"/>
  <c r="N74" i="5"/>
  <c r="E13" i="6" s="1"/>
  <c r="D19" i="10"/>
  <c r="E19" i="10" s="1"/>
  <c r="F19" i="10" s="1"/>
  <c r="G107" i="5"/>
  <c r="J107" i="5" s="1"/>
  <c r="D29" i="8"/>
  <c r="D23" i="10"/>
  <c r="E23" i="10" s="1"/>
  <c r="F23" i="10" s="1"/>
  <c r="J76" i="5"/>
  <c r="H26" i="8"/>
  <c r="R74" i="5"/>
  <c r="M13" i="6" s="1"/>
  <c r="D40" i="7"/>
  <c r="O74" i="5"/>
  <c r="G13" i="6" s="1"/>
  <c r="C40" i="7"/>
  <c r="G34" i="7"/>
  <c r="D32" i="10"/>
  <c r="E32" i="10" s="1"/>
  <c r="F32" i="10" s="1"/>
  <c r="D40" i="9"/>
  <c r="C40" i="9"/>
  <c r="Q74" i="5"/>
  <c r="K13" i="6" s="1"/>
  <c r="T6" i="2"/>
  <c r="D5" i="3"/>
  <c r="M6" i="2"/>
  <c r="K16" i="5"/>
  <c r="G106" i="5"/>
  <c r="J71" i="5"/>
  <c r="D20" i="10" s="1"/>
  <c r="E20" i="10" s="1"/>
  <c r="F20" i="10" s="1"/>
  <c r="J94" i="5"/>
  <c r="E5" i="4"/>
  <c r="F119" i="5"/>
  <c r="E7" i="4" s="1"/>
  <c r="E38" i="7"/>
  <c r="E40" i="7"/>
  <c r="E42" i="7" s="1"/>
  <c r="E6" i="4" l="1"/>
  <c r="E9" i="4" s="1"/>
  <c r="D38" i="7"/>
  <c r="E8" i="4"/>
  <c r="G8" i="4" s="1"/>
  <c r="L26" i="8"/>
  <c r="J26" i="8"/>
  <c r="G119" i="5"/>
  <c r="J106" i="5"/>
  <c r="J119" i="5" s="1"/>
  <c r="U6" i="2"/>
  <c r="L16" i="5"/>
  <c r="N16" i="5" s="1"/>
  <c r="L7" i="2"/>
  <c r="L15" i="5"/>
  <c r="S6" i="2"/>
  <c r="H15" i="1" s="1"/>
  <c r="G40" i="7"/>
  <c r="J75" i="5"/>
  <c r="J77" i="5" s="1"/>
  <c r="O13" i="6"/>
  <c r="G5" i="4"/>
  <c r="F5" i="4"/>
  <c r="G6" i="4"/>
  <c r="D29" i="10"/>
  <c r="E29" i="10" s="1"/>
  <c r="F29" i="10" s="1"/>
  <c r="D42" i="7"/>
  <c r="G7" i="4"/>
  <c r="F7" i="4"/>
  <c r="F6" i="4" l="1"/>
  <c r="F8" i="4"/>
  <c r="P16" i="5"/>
  <c r="F9" i="4"/>
  <c r="O16" i="5"/>
  <c r="G9" i="4"/>
  <c r="R16" i="5"/>
  <c r="M16" i="5"/>
  <c r="D17" i="10"/>
  <c r="E17" i="10" s="1"/>
  <c r="F17" i="10" s="1"/>
  <c r="D8" i="8"/>
  <c r="D34" i="8" s="1"/>
  <c r="D35" i="8" s="1"/>
  <c r="D42" i="8" s="1"/>
  <c r="J79" i="5"/>
  <c r="Q16" i="5"/>
  <c r="M15" i="5"/>
  <c r="Q15" i="5"/>
  <c r="O15" i="5"/>
  <c r="N15" i="5"/>
  <c r="P15" i="5"/>
  <c r="R15" i="5"/>
  <c r="T7" i="2"/>
  <c r="M7" i="2"/>
  <c r="S7" i="2"/>
  <c r="H16" i="1" s="1"/>
  <c r="D6" i="3"/>
  <c r="K18" i="5"/>
  <c r="K17" i="5"/>
  <c r="D8" i="10" l="1"/>
  <c r="E8" i="10" s="1"/>
  <c r="F8" i="10" s="1"/>
  <c r="L8" i="2"/>
  <c r="L17" i="5"/>
  <c r="U7" i="2"/>
  <c r="L9" i="2"/>
  <c r="L18" i="5"/>
  <c r="R18" i="5" s="1"/>
  <c r="P17" i="5"/>
  <c r="R17" i="5"/>
  <c r="Q17" i="5"/>
  <c r="D16" i="10"/>
  <c r="E16" i="10" s="1"/>
  <c r="F16" i="10" s="1"/>
  <c r="D42" i="9"/>
  <c r="C42" i="9"/>
  <c r="J80" i="5"/>
  <c r="D9" i="8"/>
  <c r="C13" i="7"/>
  <c r="M18" i="5"/>
  <c r="P18" i="5"/>
  <c r="N18" i="5" l="1"/>
  <c r="O18" i="5"/>
  <c r="Q18" i="5"/>
  <c r="D7" i="3"/>
  <c r="K19" i="5"/>
  <c r="T8" i="2"/>
  <c r="M8" i="2"/>
  <c r="S8" i="2" s="1"/>
  <c r="H18" i="1" s="1"/>
  <c r="K20" i="5"/>
  <c r="C49" i="7"/>
  <c r="C51" i="9" s="1"/>
  <c r="D34" i="10"/>
  <c r="E34" i="10" s="1"/>
  <c r="F34" i="10" s="1"/>
  <c r="C35" i="7"/>
  <c r="D51" i="9"/>
  <c r="E51" i="9" s="1"/>
  <c r="K22" i="5"/>
  <c r="D8" i="3"/>
  <c r="M9" i="2"/>
  <c r="T9" i="2"/>
  <c r="K21" i="5"/>
  <c r="O17" i="5"/>
  <c r="N17" i="5"/>
  <c r="M17" i="5"/>
  <c r="G35" i="7" l="1"/>
  <c r="C37" i="7"/>
  <c r="D9" i="10"/>
  <c r="E9" i="10" s="1"/>
  <c r="F9" i="10" s="1"/>
  <c r="L13" i="2"/>
  <c r="L19" i="5"/>
  <c r="R19" i="5" s="1"/>
  <c r="L10" i="2"/>
  <c r="U8" i="2"/>
  <c r="L15" i="2"/>
  <c r="L20" i="5"/>
  <c r="P20" i="5" s="1"/>
  <c r="R21" i="5"/>
  <c r="Q21" i="5"/>
  <c r="P21" i="5"/>
  <c r="O21" i="5"/>
  <c r="N22" i="5"/>
  <c r="P19" i="5"/>
  <c r="O19" i="5"/>
  <c r="N19" i="5"/>
  <c r="M19" i="5"/>
  <c r="L22" i="5"/>
  <c r="P22" i="5" s="1"/>
  <c r="L12" i="2"/>
  <c r="U9" i="2"/>
  <c r="L11" i="2"/>
  <c r="L21" i="5"/>
  <c r="N21" i="5" s="1"/>
  <c r="S9" i="2"/>
  <c r="H19" i="1" s="1"/>
  <c r="M21" i="5" l="1"/>
  <c r="Q19" i="5"/>
  <c r="Q22" i="5"/>
  <c r="M22" i="5"/>
  <c r="O20" i="5"/>
  <c r="N20" i="5"/>
  <c r="G37" i="7"/>
  <c r="C41" i="7"/>
  <c r="C38" i="7"/>
  <c r="D14" i="3"/>
  <c r="M15" i="2"/>
  <c r="S15" i="2"/>
  <c r="H29" i="1" s="1"/>
  <c r="T15" i="2"/>
  <c r="K38" i="5"/>
  <c r="M20" i="5"/>
  <c r="D12" i="3"/>
  <c r="M13" i="2"/>
  <c r="S13" i="2"/>
  <c r="H26" i="1" s="1"/>
  <c r="K35" i="5"/>
  <c r="T13" i="2"/>
  <c r="K34" i="5"/>
  <c r="K33" i="5"/>
  <c r="O22" i="5"/>
  <c r="D9" i="3"/>
  <c r="M10" i="2"/>
  <c r="L19" i="2"/>
  <c r="K24" i="5"/>
  <c r="T10" i="2"/>
  <c r="K23" i="5"/>
  <c r="Q20" i="5"/>
  <c r="R20" i="5"/>
  <c r="K30" i="5"/>
  <c r="K27" i="5"/>
  <c r="K28" i="5"/>
  <c r="T11" i="2"/>
  <c r="D10" i="3"/>
  <c r="K26" i="5"/>
  <c r="M11" i="2"/>
  <c r="K29" i="5"/>
  <c r="T12" i="2"/>
  <c r="M12" i="2"/>
  <c r="S12" i="2"/>
  <c r="H24" i="1" s="1"/>
  <c r="D11" i="3"/>
  <c r="K32" i="5"/>
  <c r="K31" i="5"/>
  <c r="R22" i="5"/>
  <c r="T19" i="2" l="1"/>
  <c r="K47" i="5"/>
  <c r="M19" i="2"/>
  <c r="D18" i="3"/>
  <c r="K49" i="5"/>
  <c r="K48" i="5"/>
  <c r="K46" i="5"/>
  <c r="O29" i="5"/>
  <c r="P29" i="5"/>
  <c r="R29" i="5"/>
  <c r="N29" i="5"/>
  <c r="M29" i="5"/>
  <c r="Q29" i="5"/>
  <c r="C26" i="9"/>
  <c r="D27" i="9" s="1"/>
  <c r="D28" i="9" s="1"/>
  <c r="L17" i="2"/>
  <c r="L24" i="5"/>
  <c r="P24" i="5" s="1"/>
  <c r="U10" i="2"/>
  <c r="L23" i="5"/>
  <c r="O28" i="5"/>
  <c r="M28" i="5"/>
  <c r="N28" i="5"/>
  <c r="R28" i="5"/>
  <c r="P28" i="5"/>
  <c r="Q28" i="5"/>
  <c r="U15" i="2"/>
  <c r="L16" i="2"/>
  <c r="L38" i="5"/>
  <c r="O38" i="5" s="1"/>
  <c r="N27" i="5"/>
  <c r="Q27" i="5"/>
  <c r="P27" i="5"/>
  <c r="M27" i="5"/>
  <c r="O27" i="5"/>
  <c r="U13" i="2"/>
  <c r="L35" i="5"/>
  <c r="P35" i="5" s="1"/>
  <c r="L14" i="2"/>
  <c r="L34" i="5"/>
  <c r="R34" i="5" s="1"/>
  <c r="L33" i="5"/>
  <c r="G38" i="7"/>
  <c r="C46" i="7"/>
  <c r="C49" i="9" s="1"/>
  <c r="D49" i="9" s="1"/>
  <c r="G41" i="7"/>
  <c r="C42" i="7"/>
  <c r="U12" i="2"/>
  <c r="L31" i="5"/>
  <c r="N31" i="5" s="1"/>
  <c r="L32" i="5"/>
  <c r="N32" i="5" s="1"/>
  <c r="D63" i="8"/>
  <c r="D64" i="8" s="1"/>
  <c r="L27" i="5"/>
  <c r="R27" i="5" s="1"/>
  <c r="L28" i="5"/>
  <c r="U11" i="2"/>
  <c r="L26" i="5"/>
  <c r="M26" i="5" s="1"/>
  <c r="L30" i="5"/>
  <c r="R30" i="5" s="1"/>
  <c r="L29" i="5"/>
  <c r="P26" i="5"/>
  <c r="Q26" i="5"/>
  <c r="N26" i="5"/>
  <c r="S11" i="2"/>
  <c r="H23" i="1" s="1"/>
  <c r="R33" i="5"/>
  <c r="O33" i="5"/>
  <c r="N33" i="5"/>
  <c r="Q33" i="5"/>
  <c r="M33" i="5"/>
  <c r="P33" i="5"/>
  <c r="M23" i="5"/>
  <c r="R23" i="5"/>
  <c r="P23" i="5"/>
  <c r="O23" i="5"/>
  <c r="N23" i="5"/>
  <c r="Q23" i="5"/>
  <c r="N24" i="5"/>
  <c r="S10" i="2"/>
  <c r="H21" i="1" s="1"/>
  <c r="R24" i="5" l="1"/>
  <c r="Q32" i="5"/>
  <c r="P32" i="5"/>
  <c r="P30" i="5"/>
  <c r="M24" i="5"/>
  <c r="M32" i="5"/>
  <c r="O24" i="5"/>
  <c r="N38" i="5"/>
  <c r="P38" i="5"/>
  <c r="M38" i="5"/>
  <c r="R32" i="5"/>
  <c r="Q38" i="5"/>
  <c r="O32" i="5"/>
  <c r="R38" i="5"/>
  <c r="Q24" i="5"/>
  <c r="P34" i="5"/>
  <c r="O31" i="5"/>
  <c r="E49" i="9"/>
  <c r="D50" i="9"/>
  <c r="T16" i="2"/>
  <c r="M16" i="2"/>
  <c r="S16" i="2" s="1"/>
  <c r="H30" i="1" s="1"/>
  <c r="D15" i="3"/>
  <c r="K39" i="5"/>
  <c r="Q34" i="5"/>
  <c r="M31" i="5"/>
  <c r="O26" i="5"/>
  <c r="N30" i="5"/>
  <c r="N35" i="5"/>
  <c r="L20" i="2"/>
  <c r="U19" i="2"/>
  <c r="L49" i="5"/>
  <c r="R49" i="5" s="1"/>
  <c r="L48" i="5"/>
  <c r="N48" i="5" s="1"/>
  <c r="L46" i="5"/>
  <c r="L47" i="5"/>
  <c r="N47" i="5" s="1"/>
  <c r="O34" i="5"/>
  <c r="K36" i="5"/>
  <c r="T14" i="2"/>
  <c r="M14" i="2"/>
  <c r="S14" i="2" s="1"/>
  <c r="H27" i="1" s="1"/>
  <c r="D13" i="3"/>
  <c r="K37" i="5"/>
  <c r="M34" i="5"/>
  <c r="O35" i="5"/>
  <c r="P31" i="5"/>
  <c r="R26" i="5"/>
  <c r="Q30" i="5"/>
  <c r="M35" i="5"/>
  <c r="Q47" i="5"/>
  <c r="P47" i="5"/>
  <c r="O47" i="5"/>
  <c r="R47" i="5"/>
  <c r="M47" i="5"/>
  <c r="C43" i="7"/>
  <c r="D43" i="7" s="1"/>
  <c r="G42" i="7"/>
  <c r="C47" i="7" s="1"/>
  <c r="Q31" i="5"/>
  <c r="M30" i="5"/>
  <c r="R31" i="5"/>
  <c r="D65" i="8"/>
  <c r="D71" i="8" s="1"/>
  <c r="D66" i="8"/>
  <c r="O30" i="5"/>
  <c r="R35" i="5"/>
  <c r="C29" i="9"/>
  <c r="D29" i="9" s="1"/>
  <c r="D16" i="3"/>
  <c r="K42" i="5"/>
  <c r="M17" i="2"/>
  <c r="T17" i="2"/>
  <c r="S17" i="2"/>
  <c r="H32" i="1" s="1"/>
  <c r="K40" i="5"/>
  <c r="K41" i="5"/>
  <c r="C51" i="7"/>
  <c r="C48" i="7"/>
  <c r="C50" i="9" s="1"/>
  <c r="N34" i="5"/>
  <c r="N46" i="5"/>
  <c r="Q46" i="5"/>
  <c r="P46" i="5"/>
  <c r="O46" i="5"/>
  <c r="M46" i="5"/>
  <c r="R46" i="5"/>
  <c r="O48" i="5"/>
  <c r="Q35" i="5"/>
  <c r="S19" i="2"/>
  <c r="H35" i="1" s="1"/>
  <c r="Q49" i="5" l="1"/>
  <c r="M48" i="5"/>
  <c r="M49" i="5"/>
  <c r="P49" i="5"/>
  <c r="N49" i="5"/>
  <c r="O49" i="5"/>
  <c r="R48" i="5"/>
  <c r="Q48" i="5"/>
  <c r="P48" i="5"/>
  <c r="N41" i="5"/>
  <c r="P41" i="5"/>
  <c r="O41" i="5"/>
  <c r="N42" i="5"/>
  <c r="N72" i="5" s="1"/>
  <c r="E11" i="6" s="1"/>
  <c r="M42" i="5"/>
  <c r="M72" i="5" s="1"/>
  <c r="C11" i="6" s="1"/>
  <c r="R42" i="5"/>
  <c r="R72" i="5" s="1"/>
  <c r="M11" i="6" s="1"/>
  <c r="E29" i="9"/>
  <c r="D10" i="10"/>
  <c r="E10" i="10" s="1"/>
  <c r="F10" i="10" s="1"/>
  <c r="L18" i="2"/>
  <c r="L42" i="5"/>
  <c r="P42" i="5" s="1"/>
  <c r="P72" i="5" s="1"/>
  <c r="I11" i="6" s="1"/>
  <c r="U17" i="2"/>
  <c r="L40" i="5"/>
  <c r="L41" i="5"/>
  <c r="Q41" i="5" s="1"/>
  <c r="E43" i="7"/>
  <c r="F43" i="7" s="1"/>
  <c r="Q39" i="5"/>
  <c r="O39" i="5"/>
  <c r="R39" i="5"/>
  <c r="N39" i="5"/>
  <c r="M20" i="2"/>
  <c r="S20" i="2" s="1"/>
  <c r="H36" i="1" s="1"/>
  <c r="D19" i="3"/>
  <c r="T20" i="2"/>
  <c r="K50" i="5"/>
  <c r="K51" i="5"/>
  <c r="K52" i="5"/>
  <c r="U14" i="2"/>
  <c r="L36" i="5"/>
  <c r="R36" i="5" s="1"/>
  <c r="L37" i="5"/>
  <c r="N37" i="5" s="1"/>
  <c r="N71" i="5" s="1"/>
  <c r="E10" i="6" s="1"/>
  <c r="E50" i="9"/>
  <c r="O40" i="5"/>
  <c r="N40" i="5"/>
  <c r="M40" i="5"/>
  <c r="R40" i="5"/>
  <c r="Q40" i="5"/>
  <c r="P40" i="5"/>
  <c r="U16" i="2"/>
  <c r="L39" i="5"/>
  <c r="M39" i="5" s="1"/>
  <c r="Q42" i="5" l="1"/>
  <c r="Q72" i="5" s="1"/>
  <c r="K11" i="6" s="1"/>
  <c r="O42" i="5"/>
  <c r="O72" i="5" s="1"/>
  <c r="G11" i="6" s="1"/>
  <c r="R41" i="5"/>
  <c r="M18" i="2"/>
  <c r="T18" i="2"/>
  <c r="D17" i="3"/>
  <c r="K43" i="5"/>
  <c r="S18" i="2"/>
  <c r="H33" i="1" s="1"/>
  <c r="K45" i="5"/>
  <c r="K44" i="5"/>
  <c r="N52" i="5"/>
  <c r="M52" i="5"/>
  <c r="O52" i="5"/>
  <c r="R52" i="5"/>
  <c r="Q52" i="5"/>
  <c r="P52" i="5"/>
  <c r="O11" i="6"/>
  <c r="O37" i="5"/>
  <c r="O71" i="5" s="1"/>
  <c r="G10" i="6" s="1"/>
  <c r="P37" i="5"/>
  <c r="P71" i="5" s="1"/>
  <c r="I10" i="6" s="1"/>
  <c r="N36" i="5"/>
  <c r="C50" i="7"/>
  <c r="M41" i="5"/>
  <c r="Q51" i="5"/>
  <c r="M51" i="5"/>
  <c r="O51" i="5"/>
  <c r="R51" i="5"/>
  <c r="R50" i="5"/>
  <c r="N50" i="5"/>
  <c r="O50" i="5"/>
  <c r="Q50" i="5"/>
  <c r="P50" i="5"/>
  <c r="M50" i="5"/>
  <c r="M36" i="5"/>
  <c r="Q37" i="5"/>
  <c r="Q71" i="5" s="1"/>
  <c r="K10" i="6" s="1"/>
  <c r="Q36" i="5"/>
  <c r="U20" i="2"/>
  <c r="L52" i="5"/>
  <c r="L51" i="5"/>
  <c r="N51" i="5" s="1"/>
  <c r="L50" i="5"/>
  <c r="P36" i="5"/>
  <c r="M37" i="5"/>
  <c r="M71" i="5" s="1"/>
  <c r="C10" i="6" s="1"/>
  <c r="O36" i="5"/>
  <c r="R37" i="5"/>
  <c r="R71" i="5" s="1"/>
  <c r="M10" i="6" s="1"/>
  <c r="P39" i="5"/>
  <c r="N73" i="5" l="1"/>
  <c r="E12" i="6" s="1"/>
  <c r="M73" i="5"/>
  <c r="C12" i="6" s="1"/>
  <c r="O10" i="6"/>
  <c r="Q73" i="5"/>
  <c r="K12" i="6" s="1"/>
  <c r="P51" i="5"/>
  <c r="P73" i="5" s="1"/>
  <c r="I12" i="6" s="1"/>
  <c r="O73" i="5"/>
  <c r="G12" i="6" s="1"/>
  <c r="R73" i="5"/>
  <c r="M12" i="6" s="1"/>
  <c r="D11" i="10"/>
  <c r="E11" i="10" s="1"/>
  <c r="F11" i="10" s="1"/>
  <c r="U18" i="2"/>
  <c r="L43" i="5"/>
  <c r="P43" i="5" s="1"/>
  <c r="L45" i="5"/>
  <c r="N45" i="5" s="1"/>
  <c r="L44" i="5"/>
  <c r="M44" i="5" s="1"/>
  <c r="L21" i="2"/>
  <c r="N44" i="5" l="1"/>
  <c r="O44" i="5"/>
  <c r="Q44" i="5"/>
  <c r="D12" i="10"/>
  <c r="E12" i="10" s="1"/>
  <c r="F12" i="10" s="1"/>
  <c r="T21" i="2"/>
  <c r="M21" i="2"/>
  <c r="K53" i="5"/>
  <c r="D20" i="3"/>
  <c r="K54" i="5"/>
  <c r="P44" i="5"/>
  <c r="R43" i="5"/>
  <c r="O43" i="5"/>
  <c r="Q43" i="5"/>
  <c r="R44" i="5"/>
  <c r="M43" i="5"/>
  <c r="P45" i="5"/>
  <c r="O45" i="5"/>
  <c r="R45" i="5"/>
  <c r="Q45" i="5"/>
  <c r="M45" i="5"/>
  <c r="N43" i="5"/>
  <c r="O12" i="6"/>
  <c r="U21" i="2" l="1"/>
  <c r="L53" i="5"/>
  <c r="Q53" i="5" s="1"/>
  <c r="L54" i="5"/>
  <c r="R54" i="5" s="1"/>
  <c r="L22" i="2"/>
  <c r="S21" i="2"/>
  <c r="H39" i="1" s="1"/>
  <c r="P53" i="5" l="1"/>
  <c r="R53" i="5"/>
  <c r="N53" i="5"/>
  <c r="M54" i="5"/>
  <c r="P54" i="5"/>
  <c r="D21" i="3"/>
  <c r="M22" i="2"/>
  <c r="T22" i="2"/>
  <c r="S22" i="2"/>
  <c r="H40" i="1" s="1"/>
  <c r="K56" i="5"/>
  <c r="K57" i="5"/>
  <c r="M53" i="5"/>
  <c r="O54" i="5"/>
  <c r="N54" i="5"/>
  <c r="Q54" i="5"/>
  <c r="O53" i="5"/>
  <c r="D13" i="10" l="1"/>
  <c r="E13" i="10" s="1"/>
  <c r="F13" i="10" s="1"/>
  <c r="L57" i="5"/>
  <c r="N57" i="5" s="1"/>
  <c r="L23" i="2"/>
  <c r="U22" i="2"/>
  <c r="C33" i="9" s="1"/>
  <c r="L56" i="5"/>
  <c r="O56" i="5" s="1"/>
  <c r="O57" i="5"/>
  <c r="Q57" i="5"/>
  <c r="M57" i="5"/>
  <c r="R57" i="5"/>
  <c r="P57" i="5"/>
  <c r="C35" i="9" l="1"/>
  <c r="Q56" i="5"/>
  <c r="N56" i="5"/>
  <c r="R56" i="5"/>
  <c r="M56" i="5"/>
  <c r="T23" i="2"/>
  <c r="M23" i="2"/>
  <c r="D22" i="3"/>
  <c r="K59" i="5"/>
  <c r="P56" i="5"/>
  <c r="L25" i="2" l="1"/>
  <c r="L24" i="2"/>
  <c r="U23" i="2"/>
  <c r="L59" i="5"/>
  <c r="M59" i="5" s="1"/>
  <c r="S23" i="2"/>
  <c r="H41" i="1" s="1"/>
  <c r="T24" i="2" l="1"/>
  <c r="K61" i="5"/>
  <c r="D23" i="3"/>
  <c r="M24" i="2"/>
  <c r="S24" i="2"/>
  <c r="H43" i="1" s="1"/>
  <c r="K60" i="5"/>
  <c r="K62" i="5"/>
  <c r="D24" i="3"/>
  <c r="K63" i="5"/>
  <c r="M25" i="2"/>
  <c r="S25" i="2"/>
  <c r="H44" i="1" s="1"/>
  <c r="K64" i="5"/>
  <c r="T25" i="2"/>
  <c r="R59" i="5"/>
  <c r="O59" i="5"/>
  <c r="Q59" i="5"/>
  <c r="P59" i="5"/>
  <c r="N59" i="5"/>
  <c r="W26" i="3" l="1"/>
  <c r="U26" i="3"/>
  <c r="V26" i="3"/>
  <c r="Y26" i="3"/>
  <c r="M26" i="3"/>
  <c r="O26" i="3"/>
  <c r="I26" i="3"/>
  <c r="AC26" i="3"/>
  <c r="AA26" i="3"/>
  <c r="R26" i="3"/>
  <c r="L26" i="3"/>
  <c r="X26" i="3"/>
  <c r="J26" i="3"/>
  <c r="AD26" i="3"/>
  <c r="S26" i="3"/>
  <c r="Q26" i="3"/>
  <c r="G26" i="3"/>
  <c r="F26" i="3"/>
  <c r="T26" i="3"/>
  <c r="N26" i="3"/>
  <c r="K26" i="3"/>
  <c r="AE26" i="3"/>
  <c r="AB26" i="3"/>
  <c r="P26" i="3"/>
  <c r="H26" i="3"/>
  <c r="Z26" i="3"/>
  <c r="R62" i="5"/>
  <c r="P62" i="5"/>
  <c r="D14" i="10"/>
  <c r="E14" i="10" s="1"/>
  <c r="F14" i="10" s="1"/>
  <c r="U24" i="2"/>
  <c r="C34" i="9" s="1"/>
  <c r="L61" i="5"/>
  <c r="M61" i="5" s="1"/>
  <c r="L60" i="5"/>
  <c r="E24" i="8" s="1"/>
  <c r="L26" i="2"/>
  <c r="L62" i="5"/>
  <c r="O62" i="5" s="1"/>
  <c r="L63" i="5"/>
  <c r="R63" i="5" s="1"/>
  <c r="L64" i="5"/>
  <c r="Q64" i="5" s="1"/>
  <c r="U25" i="2"/>
  <c r="E28" i="8" l="1"/>
  <c r="M64" i="5"/>
  <c r="F24" i="8"/>
  <c r="G24" i="8" s="1"/>
  <c r="H24" i="8" s="1"/>
  <c r="E25" i="8"/>
  <c r="Q61" i="5"/>
  <c r="N61" i="5"/>
  <c r="P61" i="5"/>
  <c r="N60" i="5"/>
  <c r="E26" i="8"/>
  <c r="R60" i="5"/>
  <c r="R61" i="5"/>
  <c r="O60" i="5"/>
  <c r="E33" i="8"/>
  <c r="E29" i="8"/>
  <c r="N62" i="5"/>
  <c r="M63" i="5"/>
  <c r="F28" i="8"/>
  <c r="G28" i="8" s="1"/>
  <c r="H28" i="8" s="1"/>
  <c r="E30" i="8"/>
  <c r="E18" i="8"/>
  <c r="Q60" i="5"/>
  <c r="O61" i="5"/>
  <c r="E16" i="8"/>
  <c r="E31" i="8"/>
  <c r="E27" i="8"/>
  <c r="E23" i="8"/>
  <c r="E19" i="8"/>
  <c r="P64" i="5"/>
  <c r="P60" i="5"/>
  <c r="N64" i="5"/>
  <c r="P63" i="5"/>
  <c r="O64" i="5"/>
  <c r="O70" i="5" s="1"/>
  <c r="N63" i="5"/>
  <c r="E17" i="8"/>
  <c r="R64" i="5"/>
  <c r="Q62" i="5"/>
  <c r="O63" i="5"/>
  <c r="Q63" i="5"/>
  <c r="E20" i="8"/>
  <c r="E32" i="8"/>
  <c r="E22" i="8"/>
  <c r="M60" i="5"/>
  <c r="E21" i="8"/>
  <c r="M62" i="5"/>
  <c r="M26" i="2"/>
  <c r="Q70" i="5" l="1"/>
  <c r="Q77" i="5" s="1"/>
  <c r="M70" i="5"/>
  <c r="R70" i="5"/>
  <c r="K9" i="6"/>
  <c r="K14" i="6" s="1"/>
  <c r="G20" i="6" s="1"/>
  <c r="C9" i="6"/>
  <c r="M77" i="5"/>
  <c r="R77" i="5"/>
  <c r="M9" i="6"/>
  <c r="M14" i="6" s="1"/>
  <c r="H20" i="6" s="1"/>
  <c r="F30" i="8"/>
  <c r="G30" i="8" s="1"/>
  <c r="H30" i="8" s="1"/>
  <c r="L28" i="8"/>
  <c r="K28" i="8"/>
  <c r="J28" i="8"/>
  <c r="U26" i="2"/>
  <c r="T26" i="2" s="1"/>
  <c r="D29" i="2"/>
  <c r="I29" i="8"/>
  <c r="F29" i="8"/>
  <c r="G29" i="8" s="1"/>
  <c r="H29" i="8" s="1"/>
  <c r="P70" i="5"/>
  <c r="I21" i="8"/>
  <c r="F21" i="8"/>
  <c r="G21" i="8" s="1"/>
  <c r="H21" i="8" s="1"/>
  <c r="F22" i="8"/>
  <c r="G22" i="8" s="1"/>
  <c r="H22" i="8" s="1"/>
  <c r="M22" i="8" s="1"/>
  <c r="I32" i="8"/>
  <c r="F32" i="8"/>
  <c r="G32" i="8" s="1"/>
  <c r="H32" i="8" s="1"/>
  <c r="M26" i="8"/>
  <c r="F26" i="8"/>
  <c r="K26" i="8"/>
  <c r="E35" i="8"/>
  <c r="I16" i="8"/>
  <c r="F16" i="8"/>
  <c r="G16" i="8" s="1"/>
  <c r="H16" i="8" s="1"/>
  <c r="F18" i="8"/>
  <c r="G18" i="8" s="1"/>
  <c r="H18" i="8" s="1"/>
  <c r="I25" i="8"/>
  <c r="F25" i="8"/>
  <c r="G25" i="8" s="1"/>
  <c r="H25" i="8" s="1"/>
  <c r="N70" i="5"/>
  <c r="S26" i="2"/>
  <c r="I33" i="8"/>
  <c r="F33" i="8"/>
  <c r="G33" i="8" s="1"/>
  <c r="H33" i="8" s="1"/>
  <c r="I19" i="8"/>
  <c r="F19" i="8"/>
  <c r="G19" i="8" s="1"/>
  <c r="H19" i="8" s="1"/>
  <c r="I23" i="8"/>
  <c r="F23" i="8"/>
  <c r="G23" i="8" s="1"/>
  <c r="H23" i="8" s="1"/>
  <c r="I27" i="8"/>
  <c r="F27" i="8"/>
  <c r="G27" i="8" s="1"/>
  <c r="H27" i="8" s="1"/>
  <c r="I31" i="8"/>
  <c r="F31" i="8"/>
  <c r="G31" i="8" s="1"/>
  <c r="H31" i="8" s="1"/>
  <c r="M31" i="8" s="1"/>
  <c r="I20" i="8"/>
  <c r="F20" i="8"/>
  <c r="G20" i="8" s="1"/>
  <c r="H20" i="8" s="1"/>
  <c r="I17" i="8"/>
  <c r="F17" i="8"/>
  <c r="G17" i="8" s="1"/>
  <c r="H17" i="8" s="1"/>
  <c r="G9" i="6"/>
  <c r="G14" i="6" s="1"/>
  <c r="E20" i="6" s="1"/>
  <c r="O77" i="5"/>
  <c r="M28" i="8"/>
  <c r="K24" i="8"/>
  <c r="J24" i="8"/>
  <c r="L24" i="8"/>
  <c r="M24" i="8"/>
  <c r="L31" i="8" l="1"/>
  <c r="K25" i="8"/>
  <c r="J25" i="8"/>
  <c r="M25" i="8"/>
  <c r="J21" i="8"/>
  <c r="K21" i="8"/>
  <c r="J27" i="8"/>
  <c r="K27" i="8"/>
  <c r="L25" i="8"/>
  <c r="M21" i="8"/>
  <c r="C14" i="6"/>
  <c r="L27" i="8"/>
  <c r="K18" i="8"/>
  <c r="J18" i="8"/>
  <c r="L18" i="8"/>
  <c r="L21" i="8"/>
  <c r="M27" i="8"/>
  <c r="M18" i="8"/>
  <c r="P77" i="5"/>
  <c r="I9" i="6"/>
  <c r="I14" i="6" s="1"/>
  <c r="F20" i="6" s="1"/>
  <c r="J23" i="8"/>
  <c r="K23" i="8"/>
  <c r="K16" i="8"/>
  <c r="H35" i="8"/>
  <c r="J16" i="8"/>
  <c r="K29" i="8"/>
  <c r="J29" i="8"/>
  <c r="M23" i="8"/>
  <c r="M16" i="8"/>
  <c r="L29" i="8"/>
  <c r="L23" i="8"/>
  <c r="L16" i="8"/>
  <c r="I35" i="8"/>
  <c r="M29" i="8"/>
  <c r="K19" i="8"/>
  <c r="J19" i="8"/>
  <c r="D31" i="10"/>
  <c r="F35" i="8"/>
  <c r="D39" i="8"/>
  <c r="K39" i="8" s="1"/>
  <c r="D6" i="10"/>
  <c r="E6" i="10" s="1"/>
  <c r="F6" i="10" s="1"/>
  <c r="C32" i="9"/>
  <c r="Q22" i="2"/>
  <c r="Q26" i="2"/>
  <c r="Q15" i="2"/>
  <c r="Q12" i="2"/>
  <c r="Q6" i="2"/>
  <c r="Q18" i="2"/>
  <c r="Q9" i="2"/>
  <c r="Q16" i="2"/>
  <c r="Q25" i="2"/>
  <c r="Q11" i="2"/>
  <c r="Q8" i="2"/>
  <c r="Q23" i="2"/>
  <c r="Q21" i="2"/>
  <c r="Q14" i="2"/>
  <c r="O26" i="2"/>
  <c r="N26" i="2" s="1"/>
  <c r="P26" i="2" s="1"/>
  <c r="R26" i="2" s="1"/>
  <c r="Q10" i="2"/>
  <c r="Q24" i="2"/>
  <c r="Q19" i="2"/>
  <c r="Q13" i="2"/>
  <c r="Q17" i="2"/>
  <c r="Q5" i="2"/>
  <c r="Q7" i="2"/>
  <c r="Q20" i="2"/>
  <c r="J17" i="8"/>
  <c r="K17" i="8"/>
  <c r="L19" i="8"/>
  <c r="M17" i="8"/>
  <c r="M19" i="8"/>
  <c r="L17" i="8"/>
  <c r="K33" i="8"/>
  <c r="J33" i="8"/>
  <c r="J20" i="8"/>
  <c r="K20" i="8"/>
  <c r="L33" i="8"/>
  <c r="K32" i="8"/>
  <c r="J32" i="8"/>
  <c r="L20" i="8"/>
  <c r="M33" i="8"/>
  <c r="L32" i="8"/>
  <c r="K30" i="8"/>
  <c r="L30" i="8"/>
  <c r="J30" i="8"/>
  <c r="M20" i="8"/>
  <c r="M32" i="8"/>
  <c r="M30" i="8"/>
  <c r="K31" i="8"/>
  <c r="J31" i="8"/>
  <c r="E9" i="6"/>
  <c r="E14" i="6" s="1"/>
  <c r="D20" i="6" s="1"/>
  <c r="N77" i="5"/>
  <c r="K22" i="8"/>
  <c r="L22" i="8"/>
  <c r="J22" i="8"/>
  <c r="F79" i="8" l="1"/>
  <c r="D41" i="8"/>
  <c r="O25" i="2"/>
  <c r="N25" i="2" s="1"/>
  <c r="P25" i="2" s="1"/>
  <c r="O24" i="2"/>
  <c r="N24" i="2" s="1"/>
  <c r="O9" i="6"/>
  <c r="C20" i="6"/>
  <c r="C15" i="6"/>
  <c r="O14" i="6"/>
  <c r="O15" i="6" s="1"/>
  <c r="E79" i="8"/>
  <c r="M35" i="8"/>
  <c r="G35" i="8"/>
  <c r="D40" i="8"/>
  <c r="L35" i="8"/>
  <c r="K35" i="8"/>
  <c r="J35" i="8"/>
  <c r="R25" i="2" l="1"/>
  <c r="I44" i="1" s="1"/>
  <c r="AG24" i="3"/>
  <c r="K41" i="8"/>
  <c r="F87" i="8"/>
  <c r="F86" i="8"/>
  <c r="K40" i="8"/>
  <c r="D46" i="8"/>
  <c r="D45" i="8"/>
  <c r="D43" i="8"/>
  <c r="K43" i="8" s="1"/>
  <c r="D44" i="8"/>
  <c r="K44" i="8" s="1"/>
  <c r="D50" i="8"/>
  <c r="D51" i="8" s="1"/>
  <c r="D47" i="8"/>
  <c r="D48" i="8" s="1"/>
  <c r="G79" i="8"/>
  <c r="F85" i="8"/>
  <c r="E15" i="6"/>
  <c r="C21" i="6"/>
  <c r="D77" i="8"/>
  <c r="E77" i="8" s="1"/>
  <c r="C16" i="6"/>
  <c r="D84" i="8"/>
  <c r="P24" i="2"/>
  <c r="O23" i="2"/>
  <c r="N23" i="2" s="1"/>
  <c r="I87" i="8" l="1"/>
  <c r="C39" i="9"/>
  <c r="C41" i="9" s="1"/>
  <c r="C43" i="9" s="1"/>
  <c r="D53" i="8"/>
  <c r="D54" i="8" s="1"/>
  <c r="C44" i="9" s="1"/>
  <c r="C45" i="9" s="1"/>
  <c r="D49" i="8"/>
  <c r="D59" i="8"/>
  <c r="D39" i="9"/>
  <c r="D41" i="9" s="1"/>
  <c r="D43" i="9" s="1"/>
  <c r="D55" i="8"/>
  <c r="D56" i="8" s="1"/>
  <c r="D44" i="9" s="1"/>
  <c r="D45" i="9" s="1"/>
  <c r="D52" i="8"/>
  <c r="K45" i="8"/>
  <c r="D57" i="8"/>
  <c r="K46" i="8"/>
  <c r="D58" i="8"/>
  <c r="P23" i="2"/>
  <c r="O22" i="2"/>
  <c r="N22" i="2" s="1"/>
  <c r="R24" i="2"/>
  <c r="I43" i="1" s="1"/>
  <c r="AG23" i="3"/>
  <c r="D85" i="8"/>
  <c r="G77" i="8"/>
  <c r="H77" i="8"/>
  <c r="E16" i="6"/>
  <c r="G15" i="6"/>
  <c r="D78" i="8"/>
  <c r="E78" i="8" s="1"/>
  <c r="E84" i="8"/>
  <c r="D21" i="6"/>
  <c r="H78" i="8" l="1"/>
  <c r="E85" i="8"/>
  <c r="G78" i="8"/>
  <c r="I15" i="6"/>
  <c r="C31" i="10"/>
  <c r="E31" i="10" s="1"/>
  <c r="F31" i="10" s="1"/>
  <c r="G16" i="6"/>
  <c r="D79" i="8"/>
  <c r="H79" i="8" s="1"/>
  <c r="F84" i="8"/>
  <c r="E21" i="6"/>
  <c r="N35" i="8"/>
  <c r="C58" i="9"/>
  <c r="P22" i="2"/>
  <c r="O14" i="2"/>
  <c r="N14" i="2" s="1"/>
  <c r="O21" i="2"/>
  <c r="N21" i="2" s="1"/>
  <c r="AG22" i="3"/>
  <c r="R23" i="2"/>
  <c r="I41" i="1" s="1"/>
  <c r="C57" i="9"/>
  <c r="P21" i="2" l="1"/>
  <c r="O20" i="2"/>
  <c r="N20" i="2" s="1"/>
  <c r="O18" i="2"/>
  <c r="N18" i="2" s="1"/>
  <c r="O16" i="2"/>
  <c r="N16" i="2" s="1"/>
  <c r="AG21" i="3"/>
  <c r="R22" i="2"/>
  <c r="I40" i="1" s="1"/>
  <c r="P14" i="2"/>
  <c r="I16" i="6"/>
  <c r="K15" i="6"/>
  <c r="G84" i="8"/>
  <c r="F21" i="6"/>
  <c r="H84" i="8" l="1"/>
  <c r="K16" i="6"/>
  <c r="M15" i="6"/>
  <c r="G21" i="6"/>
  <c r="R14" i="2"/>
  <c r="I27" i="1" s="1"/>
  <c r="AG13" i="3"/>
  <c r="P20" i="2"/>
  <c r="O19" i="2"/>
  <c r="N19" i="2" s="1"/>
  <c r="P16" i="2"/>
  <c r="P18" i="2"/>
  <c r="O17" i="2"/>
  <c r="N17" i="2" s="1"/>
  <c r="AG20" i="3"/>
  <c r="R21" i="2"/>
  <c r="I39" i="1" s="1"/>
  <c r="P17" i="2" l="1"/>
  <c r="O11" i="2"/>
  <c r="O12" i="2"/>
  <c r="N12" i="2" s="1"/>
  <c r="P12" i="2" s="1"/>
  <c r="O13" i="2"/>
  <c r="N13" i="2" s="1"/>
  <c r="P13" i="2" s="1"/>
  <c r="AG17" i="3"/>
  <c r="R18" i="2"/>
  <c r="I33" i="1" s="1"/>
  <c r="AG15" i="3"/>
  <c r="R16" i="2"/>
  <c r="I30" i="1" s="1"/>
  <c r="AG19" i="3"/>
  <c r="R20" i="2"/>
  <c r="I36" i="1" s="1"/>
  <c r="O15" i="2"/>
  <c r="N15" i="2" s="1"/>
  <c r="P15" i="2" s="1"/>
  <c r="O10" i="2"/>
  <c r="N10" i="2" s="1"/>
  <c r="P19" i="2"/>
  <c r="H21" i="6"/>
  <c r="D24" i="10"/>
  <c r="E24" i="10" s="1"/>
  <c r="F24" i="10" s="1"/>
  <c r="M16" i="6"/>
  <c r="I84" i="8"/>
  <c r="R19" i="2" l="1"/>
  <c r="I35" i="1" s="1"/>
  <c r="AG18" i="3"/>
  <c r="R15" i="2"/>
  <c r="I29" i="1" s="1"/>
  <c r="AG14" i="3"/>
  <c r="AG12" i="3"/>
  <c r="R13" i="2"/>
  <c r="I26" i="1" s="1"/>
  <c r="D67" i="8"/>
  <c r="N11" i="2"/>
  <c r="P10" i="2"/>
  <c r="O8" i="2"/>
  <c r="N8" i="2" s="1"/>
  <c r="R12" i="2"/>
  <c r="I24" i="1" s="1"/>
  <c r="AG11" i="3"/>
  <c r="AG16" i="3"/>
  <c r="C30" i="9"/>
  <c r="D31" i="9" s="1"/>
  <c r="R17" i="2"/>
  <c r="I32" i="1" s="1"/>
  <c r="P8" i="2" l="1"/>
  <c r="P11" i="2"/>
  <c r="O9" i="2"/>
  <c r="N9" i="2" s="1"/>
  <c r="P9" i="2" s="1"/>
  <c r="AG9" i="3"/>
  <c r="R10" i="2"/>
  <c r="I21" i="1" s="1"/>
  <c r="D68" i="8"/>
  <c r="D69" i="8" s="1"/>
  <c r="D72" i="8"/>
  <c r="D33" i="10"/>
  <c r="E33" i="10" s="1"/>
  <c r="F33" i="10" s="1"/>
  <c r="D33" i="9"/>
  <c r="D34" i="9"/>
  <c r="D32" i="9"/>
  <c r="E32" i="9" s="1"/>
  <c r="E34" i="9" l="1"/>
  <c r="C55" i="9"/>
  <c r="D35" i="9"/>
  <c r="E33" i="9"/>
  <c r="O7" i="2"/>
  <c r="N7" i="2" s="1"/>
  <c r="C36" i="10"/>
  <c r="C37" i="10"/>
  <c r="R9" i="2"/>
  <c r="I19" i="1" s="1"/>
  <c r="AG8" i="3"/>
  <c r="AG10" i="3"/>
  <c r="R11" i="2"/>
  <c r="I23" i="1" s="1"/>
  <c r="R8" i="2"/>
  <c r="I18" i="1" s="1"/>
  <c r="AG7" i="3"/>
  <c r="C38" i="10" l="1"/>
  <c r="P7" i="2"/>
  <c r="O6" i="2"/>
  <c r="N6" i="2" s="1"/>
  <c r="E35" i="9"/>
  <c r="C56" i="9"/>
  <c r="C59" i="9" s="1"/>
  <c r="P6" i="2" l="1"/>
  <c r="O5" i="2"/>
  <c r="N5" i="2" s="1"/>
  <c r="P5" i="2" s="1"/>
  <c r="R7" i="2"/>
  <c r="I16" i="1" s="1"/>
  <c r="AG6" i="3"/>
  <c r="D34" i="2" l="1" a="1"/>
  <c r="D34" i="2" s="1"/>
  <c r="D30" i="2"/>
  <c r="D31" i="2" s="1"/>
  <c r="D33" i="2" s="1"/>
  <c r="B30" i="3" s="1"/>
  <c r="R5" i="2"/>
  <c r="AG5" i="3"/>
  <c r="R6" i="2"/>
  <c r="I15" i="1" s="1"/>
</calcChain>
</file>

<file path=xl/sharedStrings.xml><?xml version="1.0" encoding="utf-8"?>
<sst xmlns="http://schemas.openxmlformats.org/spreadsheetml/2006/main" count="1233" uniqueCount="723">
  <si>
    <t>WBS – từ điển rút gọn</t>
  </si>
  <si>
    <t>Cấp 1 = 10 nhóm công việc · work package có mã HĐ A – T là hoạt động của lịch; "–" = gói quản lý dự án · cột G – I lấy từ sheet Hoạt động, lịch</t>
  </si>
  <si>
    <t>MÃ WBS</t>
  </si>
  <si>
    <t>TÊN PHẦN TỬ</t>
  </si>
  <si>
    <t>SẢN PHẨM</t>
  </si>
  <si>
    <t>PHỤ TRÁCH</t>
  </si>
  <si>
    <t>HĐ</t>
  </si>
  <si>
    <t>SỐ TUẦN</t>
  </si>
  <si>
    <t>TUẦN</t>
  </si>
  <si>
    <t>CRITICAL?</t>
  </si>
  <si>
    <t>0</t>
  </si>
  <si>
    <t>Atlas RMS</t>
  </si>
  <si>
    <t>D1 – D10; 26 tuần; 1,5 tỷ đồng</t>
  </si>
  <si>
    <t>Duy An (PM)</t>
  </si>
  <si>
    <t>1</t>
  </si>
  <si>
    <t>Quản lý dự án</t>
  </si>
  <si>
    <t>D8</t>
  </si>
  <si>
    <t>Duy An</t>
  </si>
  <si>
    <t>1.1</t>
  </si>
  <si>
    <t>Khởi tạo, kế hoạch</t>
  </si>
  <si>
    <t>Hồ sơ khởi tạo, kế hoạch (D8)</t>
  </si>
  <si>
    <t>1.1.1</t>
  </si>
  <si>
    <t>Charter, kick-off</t>
  </si>
  <si>
    <t>Charter ký, kick-off (M0)</t>
  </si>
  <si>
    <t>–</t>
  </si>
  <si>
    <t>1.1.2</t>
  </si>
  <si>
    <t>Kế hoạch dự án</t>
  </si>
  <si>
    <t>Kế hoạch Sponsor duyệt (M1)</t>
  </si>
  <si>
    <t>1.1.3</t>
  </si>
  <si>
    <t>Hợp đồng đối tác</t>
  </si>
  <si>
    <t>Hợp đồng RMS, hóa đơn, QR</t>
  </si>
  <si>
    <t>Lê Anh</t>
  </si>
  <si>
    <t>1.2</t>
  </si>
  <si>
    <t>Giám sát, kiểm soát</t>
  </si>
  <si>
    <t>Hồ sơ giám sát (D8)</t>
  </si>
  <si>
    <t>1.2.1</t>
  </si>
  <si>
    <t>Báo cáo, EVM</t>
  </si>
  <si>
    <t>13 báo cáo có SPI, CPI</t>
  </si>
  <si>
    <t>Tuấn Anh</t>
  </si>
  <si>
    <t>1.2.2</t>
  </si>
  <si>
    <t>Thay đổi, rủi ro</t>
  </si>
  <si>
    <t>Nhật ký thay đổi, risk register</t>
  </si>
  <si>
    <t>Quang Hiếu</t>
  </si>
  <si>
    <t>2</t>
  </si>
  <si>
    <t>Khảo sát, phân tích yêu cầu</t>
  </si>
  <si>
    <t>D9 (SRS)</t>
  </si>
  <si>
    <t>Đức Anh</t>
  </si>
  <si>
    <t>2.1</t>
  </si>
  <si>
    <t>Khảo sát hiện trạng</t>
  </si>
  <si>
    <t>Báo cáo hiện trạng 5 nhà hàng</t>
  </si>
  <si>
    <t>A</t>
  </si>
  <si>
    <t>2.2</t>
  </si>
  <si>
    <t>Đặc tả yêu cầu (SRS)</t>
  </si>
  <si>
    <t>SRS, ma trận truy vết (M1)</t>
  </si>
  <si>
    <t>B</t>
  </si>
  <si>
    <t>3</t>
  </si>
  <si>
    <t>Thiết kế giải pháp</t>
  </si>
  <si>
    <t>D9 (thiết kế)</t>
  </si>
  <si>
    <t>Đối tác RMS</t>
  </si>
  <si>
    <t>3.1</t>
  </si>
  <si>
    <t>Quy trình, cấu hình</t>
  </si>
  <si>
    <t>Thiết kế to-be được duyệt (M2)</t>
  </si>
  <si>
    <t>C</t>
  </si>
  <si>
    <t>3.2</t>
  </si>
  <si>
    <t>Kiến trúc tích hợp</t>
  </si>
  <si>
    <t>Đặc tả 5 kết nối, web, QR (M2)</t>
  </si>
  <si>
    <t>D</t>
  </si>
  <si>
    <t>4</t>
  </si>
  <si>
    <t>Cấu hình, tích hợp</t>
  </si>
  <si>
    <t>D1, D2, D3</t>
  </si>
  <si>
    <t>4.1</t>
  </si>
  <si>
    <t>RMS lõi</t>
  </si>
  <si>
    <t>P1 – P5, P7, P8 đạt demo</t>
  </si>
  <si>
    <t>E</t>
  </si>
  <si>
    <t>4.2</t>
  </si>
  <si>
    <t>Tích hợp, kênh online</t>
  </si>
  <si>
    <t>D2, D3 trên môi trường thử</t>
  </si>
  <si>
    <t>4.2.1</t>
  </si>
  <si>
    <t>Tích hợp ngoài (P9)</t>
  </si>
  <si>
    <t>5 kết nối ngoài chạy thử đạt</t>
  </si>
  <si>
    <t>F</t>
  </si>
  <si>
    <t>4.2.2</t>
  </si>
  <si>
    <t>Kênh online (P6)</t>
  </si>
  <si>
    <t>Web, QR order chạy thử đạt</t>
  </si>
  <si>
    <t>G</t>
  </si>
  <si>
    <t>5</t>
  </si>
  <si>
    <t>Thiết bị, mạng</t>
  </si>
  <si>
    <t>D4</t>
  </si>
  <si>
    <t>5.1</t>
  </si>
  <si>
    <t>Thiết bị đợt 1 (pilot)</t>
  </si>
  <si>
    <t>Bàn giao Cầu Giấy, văn phòng</t>
  </si>
  <si>
    <t>H</t>
  </si>
  <si>
    <t>5.2</t>
  </si>
  <si>
    <t>Thiết bị đợt 2</t>
  </si>
  <si>
    <t>4 nhà hàng, lắp trước go-live</t>
  </si>
  <si>
    <t>I</t>
  </si>
  <si>
    <t>6</t>
  </si>
  <si>
    <t>Chuyển đổi dữ liệu</t>
  </si>
  <si>
    <t>D5</t>
  </si>
  <si>
    <t>6.1</t>
  </si>
  <si>
    <t>Thực đơn, công thức</t>
  </si>
  <si>
    <t>100% món có giá, công thức</t>
  </si>
  <si>
    <t>J</t>
  </si>
  <si>
    <t>6.2</t>
  </si>
  <si>
    <t>Khách hàng, tồn kho</t>
  </si>
  <si>
    <t>Tồn kho khớp 100% kiểm kê</t>
  </si>
  <si>
    <t>K</t>
  </si>
  <si>
    <t>7</t>
  </si>
  <si>
    <t>Kiểm thử</t>
  </si>
  <si>
    <t>D9 (kiểm thử)</t>
  </si>
  <si>
    <t>7.1</t>
  </si>
  <si>
    <t>SIT, kiểm thử tải</t>
  </si>
  <si>
    <t>SIT đạt; tải 300 order/giờ (M3)</t>
  </si>
  <si>
    <t>L</t>
  </si>
  <si>
    <t>7.2</t>
  </si>
  <si>
    <t>UAT</t>
  </si>
  <si>
    <t>≥ 95% test case UAT đạt (M4)</t>
  </si>
  <si>
    <t>M</t>
  </si>
  <si>
    <t>8</t>
  </si>
  <si>
    <t>Đào tạo, tài liệu</t>
  </si>
  <si>
    <t>D6</t>
  </si>
  <si>
    <t>8.1</t>
  </si>
  <si>
    <t>Tài liệu, trainer</t>
  </si>
  <si>
    <t>Tài liệu 6 vai trò; trainer đạt</t>
  </si>
  <si>
    <t>N</t>
  </si>
  <si>
    <t>8.2</t>
  </si>
  <si>
    <t>Đào tạo theo đợt</t>
  </si>
  <si>
    <t>≥ 95% đạt, trước mỗi go-live</t>
  </si>
  <si>
    <t>O</t>
  </si>
  <si>
    <t>9</t>
  </si>
  <si>
    <t>Triển khai</t>
  </si>
  <si>
    <t>D7</t>
  </si>
  <si>
    <t>9.1</t>
  </si>
  <si>
    <t>Go-live 5 nhà hàng</t>
  </si>
  <si>
    <t>5/5 nhà hàng go-live</t>
  </si>
  <si>
    <t>9.1.1</t>
  </si>
  <si>
    <t>Pilot Cầu Giấy</t>
  </si>
  <si>
    <t>Go-live (M5); nghiệm thu pilot</t>
  </si>
  <si>
    <t>P</t>
  </si>
  <si>
    <t>9.1.2</t>
  </si>
  <si>
    <t>Rollout 4 nhà hàng</t>
  </si>
  <si>
    <t>4 nhà hàng, mỗi tuần 1 (M6)</t>
  </si>
  <si>
    <t>Q</t>
  </si>
  <si>
    <t>9.2</t>
  </si>
  <si>
    <t>Hỗ trợ sau go-live</t>
  </si>
  <si>
    <t>Nhật ký sự cố; uptime ≥ 99,5%</t>
  </si>
  <si>
    <t>R</t>
  </si>
  <si>
    <t>10</t>
  </si>
  <si>
    <t>Nghiệm thu, đóng dự án</t>
  </si>
  <si>
    <t>D10</t>
  </si>
  <si>
    <t>10.1</t>
  </si>
  <si>
    <t>Nghiệm thu, bàn giao</t>
  </si>
  <si>
    <t>Biên bản nghiệm thu (M7)</t>
  </si>
  <si>
    <t>S</t>
  </si>
  <si>
    <t>10.2</t>
  </si>
  <si>
    <t>Tổng kết, thanh lý</t>
  </si>
  <si>
    <t>Báo cáo tổng kết, bài học</t>
  </si>
  <si>
    <t>T</t>
  </si>
  <si>
    <t>Hoạt động và lịch – CPM, PERT</t>
  </si>
  <si>
    <t>ES(Start) = 0 = đầu tuần 1 · FS: ES ≥ EF(trước) + lag · SS: ES ≥ ES(trước) + lag · FF: EF ≥ EF(trước) + lag · Total Slack = LS − ES · PERT: t = (o + 4m + p)/6, σ² = ((p − o)/6)²</t>
  </si>
  <si>
    <t>ID</t>
  </si>
  <si>
    <t>HOẠT ĐỘNG</t>
  </si>
  <si>
    <t>WBS</t>
  </si>
  <si>
    <t>PREDECESSOR (QUAN HỆ)</t>
  </si>
  <si>
    <t>o</t>
  </si>
  <si>
    <t>m</t>
  </si>
  <si>
    <t>p</t>
  </si>
  <si>
    <t>t (TUẦN)</t>
  </si>
  <si>
    <t>σ²</t>
  </si>
  <si>
    <t>ES</t>
  </si>
  <si>
    <t>EF</t>
  </si>
  <si>
    <t>LS</t>
  </si>
  <si>
    <t>LF</t>
  </si>
  <si>
    <t>TOTAL SLACK</t>
  </si>
  <si>
    <t>FREE SLACK</t>
  </si>
  <si>
    <t>BẮT ĐẦU</t>
  </si>
  <si>
    <t>KẾT THÚC</t>
  </si>
  <si>
    <t>Start</t>
  </si>
  <si>
    <t>Bắt đầu dự án (M0)</t>
  </si>
  <si>
    <t>—</t>
  </si>
  <si>
    <t>Quy trình to-be, thiết kế cấu hình</t>
  </si>
  <si>
    <t>Cấu hình RMS lõi</t>
  </si>
  <si>
    <t>Khách hàng, tồn kho đầu kỳ</t>
  </si>
  <si>
    <t>E; F; G; H; J</t>
  </si>
  <si>
    <t>Tài liệu, đào tạo trainer</t>
  </si>
  <si>
    <t>E (SS+3)</t>
  </si>
  <si>
    <t>Đào tạo nhân viên theo đợt</t>
  </si>
  <si>
    <t>M; K; O (SS+1)</t>
  </si>
  <si>
    <t>P; I; O (FF+1)</t>
  </si>
  <si>
    <t>Tổng kết, thanh lý hợp đồng</t>
  </si>
  <si>
    <t>End</t>
  </si>
  <si>
    <t>Kết thúc dự án (M7)</t>
  </si>
  <si>
    <t>S; T</t>
  </si>
  <si>
    <t>Ngày bắt đầu dự án (thứ Hai, tuần 1)</t>
  </si>
  <si>
    <t>Thời gian dự án (tuần) = max EF</t>
  </si>
  <si>
    <t>σ² trên Critical Path = Σ σ² việc găng</t>
  </si>
  <si>
    <t>σ Critical Path</t>
  </si>
  <si>
    <t>Hạn hoàn thành theo Charter (tuần)</t>
  </si>
  <si>
    <t>P(T ≤ hạn) = Φ((hạn − T)/σ)</t>
  </si>
  <si>
    <t>Critical activities (Total Slack = 0)</t>
  </si>
  <si>
    <t>Cột o, m, p, t (việc không có PERT), Predecessor, Phụ trách: dữ liệu nhập; các cột còn lại tính bằng công thức. Tuần ES+1 đến hết tuần EF; ngày kết thúc là thứ Sáu.</t>
  </si>
  <si>
    <t>Atlas RMS – Gantt chart lịch dự án 26 tuần</t>
  </si>
  <si>
    <t>1 cột = 1 tuần (5 ngày làm việc) · hàng trên: ngày thứ Hai của tuần · thanh cam = critical activity · nền nhạt sau thanh = Total Slack · ◆ = mốc</t>
  </si>
  <si>
    <t>TUẦN BẮT ĐẦU</t>
  </si>
  <si>
    <t>◆ Mốc quan trọng M0 – M7</t>
  </si>
  <si>
    <t>M0</t>
  </si>
  <si>
    <t>M1</t>
  </si>
  <si>
    <t>M2</t>
  </si>
  <si>
    <t>M3</t>
  </si>
  <si>
    <t>M4</t>
  </si>
  <si>
    <t>M5</t>
  </si>
  <si>
    <t>M6</t>
  </si>
  <si>
    <t>M7</t>
  </si>
  <si>
    <t>Số hoạt động chạy song song</t>
  </si>
  <si>
    <t>Chú giải:</t>
  </si>
  <si>
    <t>Critical activity</t>
  </si>
  <si>
    <t>Non-critical</t>
  </si>
  <si>
    <t>Total Slack</t>
  </si>
  <si>
    <t>Mốc</t>
  </si>
  <si>
    <t>Mốc: M0 01/03 kick-off · M1 09/04 SRS duyệt · M2 23/04 thiết kế duyệt · M3 11/06 xong SIT · M4 18/06 UAT đạt · M5 21/06 go-live pilot · M6 30/07 5/5 go-live · M7 27/08 nghiệm thu</t>
  </si>
  <si>
    <t>Kế hoạch nguồn lực và đơn giá</t>
  </si>
  <si>
    <t>Đơn vị: triệu đồng · đơn giá kế hoạch (lương nội bộ gồm bảo hiểm, báo giá tham khảo 2026) · ngày công, thành tiền tổng hợp từ sheet Chi phí</t>
  </si>
  <si>
    <t>MÃ</t>
  </si>
  <si>
    <t>NGUỒN LỰC</t>
  </si>
  <si>
    <t>ĐƠN GIÁ / NGÀY CÔNG</t>
  </si>
  <si>
    <t>NGÀY CÔNG</t>
  </si>
  <si>
    <t>NGƯỜI-THÁNG (22 NGÀY)</t>
  </si>
  <si>
    <t>THÀNH TIỀN</t>
  </si>
  <si>
    <t>THAM GIA</t>
  </si>
  <si>
    <t>CƠ SỞ ĐƠN GIÁ</t>
  </si>
  <si>
    <t>TV</t>
  </si>
  <si>
    <t>Tư vấn triển khai đối tác RMS</t>
  </si>
  <si>
    <t>Tuần 7 – 26, theo gói 3.x – 10.1</t>
  </si>
  <si>
    <t>Báo giá dịch vụ triển khai tham khảo ≈ 44 triệu đồng/người-tháng (22 ngày)</t>
  </si>
  <si>
    <t>BA</t>
  </si>
  <si>
    <t>BA đối tác</t>
  </si>
  <si>
    <t>Tuần 1 – 8 và 16 (UAT)</t>
  </si>
  <si>
    <t>≈ 33 triệu đồng/người-tháng</t>
  </si>
  <si>
    <t>PM</t>
  </si>
  <si>
    <t>PM nội bộ</t>
  </si>
  <si>
    <t>Tuần 1 – 26, ≈ 30% thời gian</t>
  </si>
  <si>
    <t>Lương + bảo hiểm ≈ 33 triệu đồng/tháng</t>
  </si>
  <si>
    <t>NB</t>
  </si>
  <si>
    <t>Nhân sự nội bộ (Ban QLDA, IT, trainer, nhập liệu)</t>
  </si>
  <si>
    <t>Theo gói được giao</t>
  </si>
  <si>
    <t>Lương + bảo hiểm ≈ 22 triệu đồng/tháng</t>
  </si>
  <si>
    <t>Tổng nhân sự</t>
  </si>
  <si>
    <t>Key user (quản lý nhà hàng, bếp trưởng, kế toán) tham gia ≤ 20% thời gian – không tính vào chi phí dự án (chi phí vận hành). Ô tô màu: dữ liệu nhập.</t>
  </si>
  <si>
    <t>Bộ thiết bị cho 1 nhà hàng (báo giá tham khảo)</t>
  </si>
  <si>
    <t>THIẾT BỊ</t>
  </si>
  <si>
    <t>SỐ LƯỢNG</t>
  </si>
  <si>
    <t>ĐƠN GIÁ</t>
  </si>
  <si>
    <t>Máy POS cảm ứng</t>
  </si>
  <si>
    <t>Máy tính bảng order</t>
  </si>
  <si>
    <t>Màn hình bếp KDS chịu nhiệt</t>
  </si>
  <si>
    <t>Máy in hóa đơn, in bếp</t>
  </si>
  <si>
    <t>Bộ phát Wi-Fi</t>
  </si>
  <si>
    <t>Router 4G dự phòng, switch</t>
  </si>
  <si>
    <t>Đi dây mạng, UPS, lắp đặt</t>
  </si>
  <si>
    <t>Tổng 1 nhà hàng</t>
  </si>
  <si>
    <t>Chi phí bottom-up theo work package</t>
  </si>
  <si>
    <t>Đơn vị: triệu đồng · Thành tiền = Số lượng × Đơn giá · tuần lấy từ sheet Hoạt động, lịch (ES + 1 đến EF) · T3 – T8: phân bổ đều theo tuần</t>
  </si>
  <si>
    <t>NỘI DUNG</t>
  </si>
  <si>
    <t>LOẠI CHI PHÍ</t>
  </si>
  <si>
    <t>ĐƠN VỊ</t>
  </si>
  <si>
    <t>TUẦN TỪ</t>
  </si>
  <si>
    <t>TUẦN ĐẾN</t>
  </si>
  <si>
    <t>PHÂN BỔ THEO THÁNG (cost baseline)</t>
  </si>
  <si>
    <t>PM lập Charter, kick-off</t>
  </si>
  <si>
    <t>Nhân sự</t>
  </si>
  <si>
    <t>ngày công</t>
  </si>
  <si>
    <t>4 thành viên × 1 ngày</t>
  </si>
  <si>
    <t>PM lập kế hoạch dự án</t>
  </si>
  <si>
    <t>4 thành viên: lịch, chi phí, chất lượng</t>
  </si>
  <si>
    <t>PM đàm phán hợp đồng</t>
  </si>
  <si>
    <t>Lê Anh: chào giá, hợp đồng</t>
  </si>
  <si>
    <t>PM 0,5 ngày/tuần</t>
  </si>
  <si>
    <t>Tuấn Anh 0,5 ngày/tuần: báo cáo, EVM</t>
  </si>
  <si>
    <t>PM: họp CCB 2 tuần/lần</t>
  </si>
  <si>
    <t>Quang Hiếu 0,5 ngày/tuần: thay đổi, rủi ro</t>
  </si>
  <si>
    <t>BA: 5 nhà hàng × 2 ngày</t>
  </si>
  <si>
    <t>Đức Anh đi cùng khảo sát</t>
  </si>
  <si>
    <t>BA viết SRS, workshop</t>
  </si>
  <si>
    <t>Đức Anh: rà soát, ma trận truy vết</t>
  </si>
  <si>
    <t>2 tư vấn × 10 ngày</t>
  </si>
  <si>
    <t>BA chuyển giao yêu cầu</t>
  </si>
  <si>
    <t>1 tư vấn × 10 ngày</t>
  </si>
  <si>
    <t>2 tư vấn × 30 ngày (3 vòng)</t>
  </si>
  <si>
    <t>Phí khởi tạo nền tảng, chuyển dữ liệu</t>
  </si>
  <si>
    <t>Phần mềm, dịch vụ</t>
  </si>
  <si>
    <t>gói</t>
  </si>
  <si>
    <t>Môi trường thử (tuần 9 – 16)</t>
  </si>
  <si>
    <t>tháng</t>
  </si>
  <si>
    <t>1 tư vấn × 25 ngày</t>
  </si>
  <si>
    <t>Kết nối hóa đơn điện tử, chữ ký số</t>
  </si>
  <si>
    <t>nhà hàng</t>
  </si>
  <si>
    <t>Tích hợp cổng thanh toán QR</t>
  </si>
  <si>
    <t>Connector GrabFood, ShopeeFood</t>
  </si>
  <si>
    <t>năm</t>
  </si>
  <si>
    <t>Kết nối xuất dữ liệu kế toán</t>
  </si>
  <si>
    <t>1 tư vấn × 20 ngày</t>
  </si>
  <si>
    <t>In mã QR 190 bàn, tên miền, SSL</t>
  </si>
  <si>
    <t>Lê Anh 2 + IT 4 ngày</t>
  </si>
  <si>
    <t>Bộ thiết bị Cầu Giấy</t>
  </si>
  <si>
    <t>Thiết bị</t>
  </si>
  <si>
    <t>Máy tính, màn hình dashboard văn phòng</t>
  </si>
  <si>
    <t>bộ</t>
  </si>
  <si>
    <t>Lê Anh 4 + IT 8 ngày</t>
  </si>
  <si>
    <t>Bộ thiết bị 4 nhà hàng (đợt 2)</t>
  </si>
  <si>
    <t>Đức Anh 4 + nhập liệu 8 ngày</t>
  </si>
  <si>
    <t>Quang Hiếu 3 + kế toán kho 5 ngày</t>
  </si>
  <si>
    <t>2 tư vấn × 5 ngày</t>
  </si>
  <si>
    <t>Thuê công cụ kiểm thử tải</t>
  </si>
  <si>
    <t>Tư vấn sửa lỗi UAT</t>
  </si>
  <si>
    <t>BA hỗ trợ UAT</t>
  </si>
  <si>
    <t>Quang Hiếu điều phối UAT</t>
  </si>
  <si>
    <t>Tư vấn: tài liệu, đào tạo trainer</t>
  </si>
  <si>
    <t>2 trainer nội bộ học 2,5 ngày</t>
  </si>
  <si>
    <t>Sản xuất video 6 vai trò</t>
  </si>
  <si>
    <t>Đào tạo</t>
  </si>
  <si>
    <t>In tài liệu, thẻ hướng dẫn</t>
  </si>
  <si>
    <t>2 trainer × 5 nhà hàng × 2 ngày</t>
  </si>
  <si>
    <t>Phụ cấp học ngoài giờ 210 nhân viên</t>
  </si>
  <si>
    <t>người</t>
  </si>
  <si>
    <t>Phòng học, in bài kiểm tra</t>
  </si>
  <si>
    <t>Tư vấn tại chỗ tuần go-live</t>
  </si>
  <si>
    <t>Tuấn Anh 4 + IT 4 ngày</t>
  </si>
  <si>
    <t>Thuê bao chính thức Cầu Giấy (từ 21/06)</t>
  </si>
  <si>
    <t>Tư vấn 1 ngày/nhà hàng</t>
  </si>
  <si>
    <t>Tuấn Anh 4 + IT 8 ngày</t>
  </si>
  <si>
    <t>Thuê bao 4 nhà hàng từ ngày go-live</t>
  </si>
  <si>
    <t>nhà hàng-tháng</t>
  </si>
  <si>
    <t>Tư vấn hỗ trợ 3 tuần</t>
  </si>
  <si>
    <t>Bàn giao kỹ thuật</t>
  </si>
  <si>
    <t>PM nghiệm thu</t>
  </si>
  <si>
    <t>IT nhận bàn giao</t>
  </si>
  <si>
    <t>PM tổng kết</t>
  </si>
  <si>
    <t>Lê Anh thanh lý hợp đồng</t>
  </si>
  <si>
    <t>Văn phòng, điện, thiết bị dùng chung Ban QLDA</t>
  </si>
  <si>
    <t>Gián tiếp</t>
  </si>
  <si>
    <t>Đi lại giữa 5 nhà hàng</t>
  </si>
  <si>
    <t>Công cụ QLDA, văn phòng phẩm, họp CCB</t>
  </si>
  <si>
    <t>Tư vấn pháp lý, thẩm định hợp đồng</t>
  </si>
  <si>
    <t>Chi phí trực tiếp (nhân sự, thiết bị, phần mềm – dịch vụ, đào tạo)</t>
  </si>
  <si>
    <t>Chi phí gián tiếp</t>
  </si>
  <si>
    <t>Chi phí ước tính = cost baseline (BAC)</t>
  </si>
  <si>
    <t>Dự phòng rủi ro (bảng dưới)</t>
  </si>
  <si>
    <t>Ngân sách dự án = BAC + dự phòng</t>
  </si>
  <si>
    <t>Đối chiếu Charter (1.500 triệu đồng)</t>
  </si>
  <si>
    <t>Dự phòng rủi ro (contingency reserve) – rủi ro đã nhận diện (Assumptions của Charter)</t>
  </si>
  <si>
    <t>Cấu hình chuẩn đáp ứng &lt; 80% yêu cầu (Assumptions): thêm 1 vòng tùy biến, 2 tư vấn × 10 ngày</t>
  </si>
  <si>
    <t>Bên thứ ba cấp API chậm (F, PERT p = 11 tuần): thêm 15 ngày tư vấn</t>
  </si>
  <si>
    <t>Giá thiết bị tăng ≤ 5%: 5% × 480</t>
  </si>
  <si>
    <t>Đường truyền chưa đạt 100 Mbps: nâng cấp 2 nhà hàng × 10</t>
  </si>
  <si>
    <t>Kéo dài hỗ trợ sau go-live 1 tuần: 2 tư vấn × 5 ngày</t>
  </si>
  <si>
    <t>Đào tạo lại nhân viên chưa đạt (≤ 10%)</t>
  </si>
  <si>
    <t>Tổng hợp theo work package (phụ lục chi phí của báo cáo)</t>
  </si>
  <si>
    <t>WORK PACKAGE</t>
  </si>
  <si>
    <t>NHÂN SỰ</t>
  </si>
  <si>
    <t>PHẦN MỀM, DỊCH VỤ</t>
  </si>
  <si>
    <t>ĐÀO TẠO</t>
  </si>
  <si>
    <t>TỔNG</t>
  </si>
  <si>
    <t>Cộng chi phí trực tiếp</t>
  </si>
  <si>
    <t>Cost baseline theo tháng</t>
  </si>
  <si>
    <t>BAC = chi phí ước tính, không gồm dự phòng 140 triệu đồng (giữ ngoài baseline, dùng qua CCB) · tuần thuộc tháng chứa ngày thứ Tư · đơn vị triệu đồng</t>
  </si>
  <si>
    <t>Tuần</t>
  </si>
  <si>
    <t>Tháng (của ngày thứ Tư)</t>
  </si>
  <si>
    <t>Thứ Hai đầu tuần</t>
  </si>
  <si>
    <t>KHOẢN MỤC</t>
  </si>
  <si>
    <t>T3/2027</t>
  </si>
  <si>
    <t>T4/2027</t>
  </si>
  <si>
    <t>T5/2027</t>
  </si>
  <si>
    <t>T6/2027</t>
  </si>
  <si>
    <t>T7/2027</t>
  </si>
  <si>
    <t>T8/2027</t>
  </si>
  <si>
    <t>Chi phí tháng (PV theo kế hoạch)</t>
  </si>
  <si>
    <t>Lũy kế – cost baseline</t>
  </si>
  <si>
    <t>% BAC</t>
  </si>
  <si>
    <t>Dữ liệu biểu đồ</t>
  </si>
  <si>
    <t>Tháng</t>
  </si>
  <si>
    <t>T3</t>
  </si>
  <si>
    <t>T4</t>
  </si>
  <si>
    <t>T5</t>
  </si>
  <si>
    <t>T6</t>
  </si>
  <si>
    <t>T7</t>
  </si>
  <si>
    <t>T8</t>
  </si>
  <si>
    <t>Chi phí từng tháng</t>
  </si>
  <si>
    <t>Lũy kế (cost baseline)</t>
  </si>
  <si>
    <t>Dòng tiền, NPV, ROI, thời gian hoàn vốn</t>
  </si>
  <si>
    <t>Đơn vị: triệu đồng · năm 0 = 2027 (đầu tư, không chiết khấu) · lợi ích từ 2028 · ô tô màu: thông số đầu vào</t>
  </si>
  <si>
    <t>CƠ SỞ TÍNH TOÁN</t>
  </si>
  <si>
    <t>GIÁ TRỊ</t>
  </si>
  <si>
    <t>CƠ SỞ</t>
  </si>
  <si>
    <t>Tỷ lệ chiết khấu / năm</t>
  </si>
  <si>
    <t>Lãi vay trung hạn ≈ 9% + 3% bù rủi ro dự án CNTT</t>
  </si>
  <si>
    <t>Doanh thu chuỗi / năm</t>
  </si>
  <si>
    <t>Năm 2026; không tính tăng trưởng, 3 nhà hàng mới (thận trọng)</t>
  </si>
  <si>
    <t>Hao hụt nguyên liệu giảm (% doanh thu)</t>
  </si>
  <si>
    <t>O5: từ 4% xuống ≤ 2,5% doanh thu</t>
  </si>
  <si>
    <t>Tỷ trọng doanh thu online tăng</t>
  </si>
  <si>
    <t>Tiêu chí thành công của Charter: từ 8% lên ≥ 15%</t>
  </si>
  <si>
    <t>… phần thực sự tăng thêm</t>
  </si>
  <si>
    <t>Một nửa chuyển từ khách tại bàn sang</t>
  </si>
  <si>
    <t>… tỷ suất lãi gộp</t>
  </si>
  <si>
    <t>Sau giá vốn ≈ 35%, phí nền tảng ≈ 25%, bao bì, nhân công</t>
  </si>
  <si>
    <t>Giảm nhân công tổng hợp, đối soát / năm</t>
  </si>
  <si>
    <t>1 kế toán × 15 triệu đồng × 12 tháng</t>
  </si>
  <si>
    <t>Bỏ 5 phần mềm thu ngân cũ / năm</t>
  </si>
  <si>
    <t>5 × 6 triệu đồng/năm</t>
  </si>
  <si>
    <t>Chi phí đầu tư (năm 0)</t>
  </si>
  <si>
    <t>Ngân sách 1.500 = BAC + dự phòng (thận trọng: dùng hết)</t>
  </si>
  <si>
    <t>CHI PHÍ VẬN HÀNH / NĂM (từ 2028)</t>
  </si>
  <si>
    <t>Thuê bao RMS 5 nhà hàng</t>
  </si>
  <si>
    <t>5 × 3 triệu × 12 tháng</t>
  </si>
  <si>
    <t>Thuê bao dashboard văn phòng</t>
  </si>
  <si>
    <t>1 triệu × 12 tháng</t>
  </si>
  <si>
    <t>Gia hạn connector GrabFood, ShopeeFood</t>
  </si>
  <si>
    <t>báo giá năm</t>
  </si>
  <si>
    <t>Gia hạn hóa đơn điện tử, chữ ký số</t>
  </si>
  <si>
    <t>5 × 1,5 triệu</t>
  </si>
  <si>
    <t>Bảo trì, thay thế thiết bị</t>
  </si>
  <si>
    <t>5% × 480 triệu</t>
  </si>
  <si>
    <t>Tổng chi phí vận hành / năm</t>
  </si>
  <si>
    <t>MỨC ĐẠT LỢI ÍCH THEO NĂM</t>
  </si>
  <si>
    <t>Giảm hao hụt</t>
  </si>
  <si>
    <t>Doanh thu online</t>
  </si>
  <si>
    <t>Nhân công, phần mềm cũ</t>
  </si>
  <si>
    <t>DÒNG TIỀN (triệu đồng)</t>
  </si>
  <si>
    <t>2027 (t = 0)</t>
  </si>
  <si>
    <t>2028 (t = 1)</t>
  </si>
  <si>
    <t>2029 (t = 2)</t>
  </si>
  <si>
    <t>2030 (t = 3)</t>
  </si>
  <si>
    <t>Năm t</t>
  </si>
  <si>
    <t>Lợi ích: giảm hao hụt nguyên liệu</t>
  </si>
  <si>
    <t>Lợi ích: lãi gộp từ doanh thu online tăng</t>
  </si>
  <si>
    <t>Lợi ích: giảm nhân công tổng hợp, đối soát</t>
  </si>
  <si>
    <t>Lợi ích: bỏ phần mềm thu ngân cũ</t>
  </si>
  <si>
    <t>Tổng lợi ích</t>
  </si>
  <si>
    <t>Chi phí đầu tư</t>
  </si>
  <si>
    <t>Chi phí vận hành</t>
  </si>
  <si>
    <t>Tổng chi phí</t>
  </si>
  <si>
    <t>Dòng tiền ròng</t>
  </si>
  <si>
    <t>Hệ số chiết khấu 1/(1 + r)^t</t>
  </si>
  <si>
    <t>PV lợi ích</t>
  </si>
  <si>
    <t>PV chi phí</t>
  </si>
  <si>
    <t>PV dòng tiền ròng</t>
  </si>
  <si>
    <t>Lũy kế PV dòng tiền ròng</t>
  </si>
  <si>
    <t>KẾT QUẢ</t>
  </si>
  <si>
    <t>CÔNG THỨC</t>
  </si>
  <si>
    <t>NPV</t>
  </si>
  <si>
    <t>Dòng tiền năm 0 + NPV(r; dòng tiền 2028:2030)</t>
  </si>
  <si>
    <t>NPV (kiểm tra = Σ PV dòng tiền ròng)</t>
  </si>
  <si>
    <t>Σ PV lợi ích − Σ PV chi phí</t>
  </si>
  <si>
    <t>ROI</t>
  </si>
  <si>
    <t>(Σ PV lợi ích − Σ PV chi phí) / Σ PV chi phí</t>
  </si>
  <si>
    <t>Thời gian hoàn vốn giản đơn (năm)</t>
  </si>
  <si>
    <t>Vốn đầu tư / dòng tiền ròng trung bình năm</t>
  </si>
  <si>
    <t>Hoàn vốn có chiết khấu (năm, từ đầu 2028)</t>
  </si>
  <si>
    <t>Năm lũy kế PV đổi dấu + nội suy</t>
  </si>
  <si>
    <t>Mức lợi ích tối thiểu để NPV = 0</t>
  </si>
  <si>
    <t>Σ PV chi phí / Σ PV lợi ích</t>
  </si>
  <si>
    <t>Giá trị thu được (EVM) – báo cáo tháng 5/2027</t>
  </si>
  <si>
    <t>Đơn vị: triệu đồng · PV tính từ sheet Chi phí (chi phí chia đều theo tuần) · ô tô màu: % hoàn thành do PM xác nhận, AC do Kế toán trưởng xác nhận</t>
  </si>
  <si>
    <t>THÔNG SỐ KỲ BÁO CÁO</t>
  </si>
  <si>
    <t>Tuần chốt số liệu</t>
  </si>
  <si>
    <t>Hết tuần 13 = 50% thời gian kế hoạch (26 tuần)</t>
  </si>
  <si>
    <t>Ngày chốt (thứ Sáu)</t>
  </si>
  <si>
    <t>Thứ Hai đầu tuần 1 + (tuần − 1) × 7 + 4 ngày</t>
  </si>
  <si>
    <t>Tháng báo cáo</t>
  </si>
  <si>
    <t>Tuần thuộc tháng chứa ngày thứ Tư (cùng quy tắc với cost baseline)</t>
  </si>
  <si>
    <t>BAC – chi phí ước tính (cost baseline)</t>
  </si>
  <si>
    <t>Sheet Chi phí; không gồm dự phòng</t>
  </si>
  <si>
    <t>Ngân sách dự án (BAC + dự phòng)</t>
  </si>
  <si>
    <t>Charter: 1.500 triệu đồng</t>
  </si>
  <si>
    <t>Dự phòng rủi ro</t>
  </si>
  <si>
    <t>Contingency reserve, chỉ dùng khi CCB duyệt</t>
  </si>
  <si>
    <t>Ngưỡng vàng CPI, SPI</t>
  </si>
  <si>
    <t>Charter (tiêu chí thành công): CPI ≥ 0,95 ở mọi kỳ báo cáo (áp dụng cả cho SPI); dưới ngưỡng: PM lập hành động khắc phục</t>
  </si>
  <si>
    <t>Ngưỡng đỏ CPI, SPI</t>
  </si>
  <si>
    <t>Dưới ngưỡng đỏ, hoặc EAC điển hình vượt ngân sách: họp CCB trong 5 ngày làm việc</t>
  </si>
  <si>
    <t>BAC</t>
  </si>
  <si>
    <t>PV</t>
  </si>
  <si>
    <t>% KẾ HOẠCH</t>
  </si>
  <si>
    <t>% THỰC TẾ</t>
  </si>
  <si>
    <t>EV</t>
  </si>
  <si>
    <t>AC</t>
  </si>
  <si>
    <t>CV = EV − AC</t>
  </si>
  <si>
    <t>SV = EV − PV</t>
  </si>
  <si>
    <t>CPI</t>
  </si>
  <si>
    <t>SPI</t>
  </si>
  <si>
    <t>NGUYÊN NHÂN CHÊNH LỆCH</t>
  </si>
  <si>
    <t>Đúng kế hoạch</t>
  </si>
  <si>
    <t>Thêm 1 vòng đàm phán điều khoản SLA, thuê bao (1 ngày công PM)</t>
  </si>
  <si>
    <t>Dàn trải 26 tuần (level of effort): đúng kế hoạch</t>
  </si>
  <si>
    <t>Thêm 2 workshop với Marketing, Kế toán (2 ngày công BA)</t>
  </si>
  <si>
    <t>Tài liệu API bên thứ ba đổi 2 lần, thiết kế lại 2 kết nối (1 ngày tư vấn, 1 ngày BA)</t>
  </si>
  <si>
    <t>Quyền API ShopeeFood cấp chậm 2 tuần; tư vấn vẫn tính công khi chờ, làm lại 4 ngày công (8 triệu đồng)</t>
  </si>
  <si>
    <t>Giá thiết bị bộ pilot tăng ≈ 4,5% (≈ 5 triệu đồng)</t>
  </si>
  <si>
    <t>Thực đơn thực tế 170 món (ước tính 150 món): thêm 2 ngày công nhập liệu</t>
  </si>
  <si>
    <t>Văn phòng, đi lại, công cụ QLDA, pháp lý – dàn trải theo thời gian: đúng kế hoạch</t>
  </si>
  <si>
    <t>7.1 – 10.2</t>
  </si>
  <si>
    <t>Các gói chưa bắt đầu (từ tuần 14 trở đi)</t>
  </si>
  <si>
    <t>Chưa phát sinh PV, EV, AC</t>
  </si>
  <si>
    <t>Tổng dự án</t>
  </si>
  <si>
    <t>CHỈ SỐ</t>
  </si>
  <si>
    <t>DIỄN GIẢI</t>
  </si>
  <si>
    <t>PV – giá trị kế hoạch</t>
  </si>
  <si>
    <t>Σ PV các work package (cost baseline đến ngày chốt)</t>
  </si>
  <si>
    <t>EV – giá trị thu được</t>
  </si>
  <si>
    <t>Σ (% hoàn thành thực tế × BAC của gói)</t>
  </si>
  <si>
    <t>AC – chi phí thực tế</t>
  </si>
  <si>
    <t>Σ chi phí thực tế (Kế toán trưởng xác nhận)</t>
  </si>
  <si>
    <t>Ngân sách theo baseline</t>
  </si>
  <si>
    <t>EV − AC</t>
  </si>
  <si>
    <t>EV − PV</t>
  </si>
  <si>
    <t>CPI = EV / AC</t>
  </si>
  <si>
    <t>EV / AC</t>
  </si>
  <si>
    <t>SPI = EV / PV</t>
  </si>
  <si>
    <t>EV / PV</t>
  </si>
  <si>
    <t>ETC không điển hình</t>
  </si>
  <si>
    <t>BAC − EV (sai lệch là sự kiện đơn lẻ, phần còn lại theo kế hoạch)</t>
  </si>
  <si>
    <t>EAC không điển hình</t>
  </si>
  <si>
    <t>AC + ETC = BAC + (AC − EV)</t>
  </si>
  <si>
    <t>VAC không điển hình</t>
  </si>
  <si>
    <t>BAC − EAC</t>
  </si>
  <si>
    <t>ETC điển hình</t>
  </si>
  <si>
    <t>(BAC − EV) / CPI (hiệu suất chi phí giữ nguyên)</t>
  </si>
  <si>
    <t>EAC điển hình</t>
  </si>
  <si>
    <t>AC + ETC</t>
  </si>
  <si>
    <t>VAC điển hình</t>
  </si>
  <si>
    <t>Dự phòng dùng – không điển hình</t>
  </si>
  <si>
    <t>MAX(0; EAC − BAC)</t>
  </si>
  <si>
    <t>Dự phòng còn lại – không điển hình</t>
  </si>
  <si>
    <t>Dự phòng − phần đã dùng</t>
  </si>
  <si>
    <t>Dự phòng dùng – điển hình</t>
  </si>
  <si>
    <t>Dự phòng còn lại – điển hình</t>
  </si>
  <si>
    <t>Cảnh báo chi phí</t>
  </si>
  <si>
    <t>CPI so với ngưỡng vàng, đỏ</t>
  </si>
  <si>
    <t>Cảnh báo tiến độ</t>
  </si>
  <si>
    <t>SPI so với ngưỡng vàng, đỏ</t>
  </si>
  <si>
    <t>Cảnh báo ngân sách</t>
  </si>
  <si>
    <t>EAC điển hình so với ngân sách 1.500 triệu đồng</t>
  </si>
  <si>
    <t>DỰ BÁO TIẾN ĐỘ GÓI 4.2.1 (HOẠT ĐỘNG F)</t>
  </si>
  <si>
    <t>CÔNG THỨC, CƠ SỞ</t>
  </si>
  <si>
    <t>Thời lượng kế hoạch của F (tuần)</t>
  </si>
  <si>
    <t>EF − ES (sheet Hoạt động, lịch)</t>
  </si>
  <si>
    <t>Khối lượng còn lại (tuần, 1 tư vấn)</t>
  </si>
  <si>
    <t>(1 − % hoàn thành) × thời lượng kế hoạch</t>
  </si>
  <si>
    <t>Khối lượng còn lại (ngày công)</t>
  </si>
  <si>
    <t>× 5 ngày làm việc/tuần</t>
  </si>
  <si>
    <t>Dự kiến xong nếu không xử lý (cuối tuần)</t>
  </si>
  <si>
    <t>Tuần chốt + khối lượng còn lại</t>
  </si>
  <si>
    <t>Hạn muộn nhất của F – LF (tuần)</t>
  </si>
  <si>
    <t>LF trong sheet Hoạt động, lịch (Total Slack = 1)</t>
  </si>
  <si>
    <t>Trễ so với LF (tuần) = trễ của SIT (L) và của dự án</t>
  </si>
  <si>
    <t>L là việc găng (Total Slack = 0) nên mỗi tuần trễ của F làm dự án trễ 1 tuần</t>
  </si>
  <si>
    <t>Ngày nghiệm thu M7 nếu không xử lý</t>
  </si>
  <si>
    <t>M7 theo lịch + 7 ngày × tuần trễ (hạn Charter 27/08/2027)</t>
  </si>
  <si>
    <t>Khắc phục: năng lực tuần 14 khi thêm 1 tư vấn (ngày công)</t>
  </si>
  <si>
    <t>2 tư vấn × 5 ngày công/tuần</t>
  </si>
  <si>
    <t>Dự kiến xong sau khi bổ sung (cuối tuần)</t>
  </si>
  <si>
    <t>Tuần chốt + khối lượng còn lại / năng lực mỗi tuần</t>
  </si>
  <si>
    <t>Trễ so với LF sau khi bổ sung (tuần)</t>
  </si>
  <si>
    <t>Về 0: SIT (L) giữ nguyên ES, dự án giữ 26 tuần</t>
  </si>
  <si>
    <t>Chi phí tăng thêm: 1 ngày công làm quen (triệu đồng)</t>
  </si>
  <si>
    <t>Ngày công × đơn giá tư vấn; PM duyệt được (≤ 50 triệu đồng/khoản theo Charter)</t>
  </si>
  <si>
    <t>THÁNG</t>
  </si>
  <si>
    <t>PV LŨY KẾ</t>
  </si>
  <si>
    <t>EV LŨY KẾ</t>
  </si>
  <si>
    <t>AC LŨY KẾ</t>
  </si>
  <si>
    <t>GHI CHÚ</t>
  </si>
  <si>
    <t>Báo cáo tháng trước: đúng tiến độ; chi vượt do gói 1.1.3</t>
  </si>
  <si>
    <t>Báo cáo tháng trước: đúng tiến độ; chi vượt thêm do gói 2.2, 3.2</t>
  </si>
  <si>
    <t>Báo cáo tháng này (liên kết bảng trên)</t>
  </si>
  <si>
    <t>Dữ liệu biểu đồ PV – EV – AC</t>
  </si>
  <si>
    <t>PV (cost baseline)</t>
  </si>
  <si>
    <t>EV (giá trị thu được)</t>
  </si>
  <si>
    <t>AC (chi phí thực tế)</t>
  </si>
  <si>
    <t>Yêu cầu thay đổi CR-01 – đánh giá tác động và quyết định</t>
  </si>
  <si>
    <t>Đơn vị: triệu đồng · tác động lịch tính lại CPM từ sheet Hoạt động, lịch · tác động ngân sách lấy từ sheet EVM · tác động hiệu quả lấy từ sheet Dòng tiền · ô tô màu: dữ liệu nhập</t>
  </si>
  <si>
    <t>A. PHIẾU YÊU CẦU THAY ĐỔI</t>
  </si>
  <si>
    <t>Mã phiếu</t>
  </si>
  <si>
    <t>CR-01</t>
  </si>
  <si>
    <t>Ngày lập</t>
  </si>
  <si>
    <t>Người đề xuất</t>
  </si>
  <si>
    <t>Trưởng phòng Marketing</t>
  </si>
  <si>
    <t>Nội dung đề xuất</t>
  </si>
  <si>
    <t>Bổ sung ứng dụng di động riêng cho thực khách (iOS, Android): đặt bàn, đặt món, tích điểm, nhận thông báo khuyến mãi.</t>
  </si>
  <si>
    <t>Lý do</t>
  </si>
  <si>
    <t>Tăng tỷ trọng doanh thu online (BR-05: từ 8% lên ≥ 15%) và giữ chân khách thành viên bằng thông báo đẩy; đề xuất sau khi xem bản demo web đặt món ở vòng cấu hình 3.</t>
  </si>
  <si>
    <t>Loại thay đổi</t>
  </si>
  <si>
    <t>Phạm vi: bổ sung hạng mục đang nằm trong danh mục loại trừ (mục 2.1.3 của báo cáo).</t>
  </si>
  <si>
    <t>Tài liệu bị ảnh hưởng</t>
  </si>
  <si>
    <t>Charter, tuyên bố phạm vi, bảng yêu cầu, WBS, lịch, cost baseline, phân tích tài chính.</t>
  </si>
  <si>
    <t>B. CHI PHÍ BOTTOM-UP CỦA CR-01 (triệu đồng)</t>
  </si>
  <si>
    <t>HẠNG MỤC</t>
  </si>
  <si>
    <t>Thiết kế UX/UI, kiến trúc ứng dụng</t>
  </si>
  <si>
    <t>Đơn giá ngày công từ sheet Nguồn lực</t>
  </si>
  <si>
    <t>Lập trình ứng dụng iOS, Android (2 người × 8 tuần × 5 ngày)</t>
  </si>
  <si>
    <t>Kiểm thử trên 2 hệ điều hành, thiết bị thật</t>
  </si>
  <si>
    <t>BA: luồng màn hình, yêu cầu, nghiệm thu</t>
  </si>
  <si>
    <t>Ban QLDA, IT, key user: UAT, vận hành thử</t>
  </si>
  <si>
    <t>Tài khoản nhà phát triển, dịch vụ thông báo đẩy, kiểm thử bảo mật</t>
  </si>
  <si>
    <t>Báo giá tham khảo</t>
  </si>
  <si>
    <t>Chi phí CR-01</t>
  </si>
  <si>
    <t>C. TÁC ĐỘNG LỊCH – TÍNH LẠI CPM</t>
  </si>
  <si>
    <t>CHỈ TIÊU</t>
  </si>
  <si>
    <t>HIỆN HÀNH</t>
  </si>
  <si>
    <t>NẾU CHẤP NHẬN</t>
  </si>
  <si>
    <t>CHÊNH LỆCH</t>
  </si>
  <si>
    <t>Hoạt động mới U: ứng dụng di động (tuần)</t>
  </si>
  <si>
    <t>Dữ liệu nhập: 2 lập trình viên × 8 tuần; chỉ bắt đầu sau E vì cần API của RMS lõi ổn định; phải xong trước SIT (L)</t>
  </si>
  <si>
    <t>EF(E) – cấu hình RMS lõi xong (tuần)</t>
  </si>
  <si>
    <t>Sheet Hoạt động, lịch</t>
  </si>
  <si>
    <t>ES(U) = EF(E) (quan hệ FS)</t>
  </si>
  <si>
    <t>U bắt đầu ngay sau E</t>
  </si>
  <si>
    <t>EF(U) = ES(U) + thời lượng</t>
  </si>
  <si>
    <t>ES(L) – SIT bắt đầu (tuần)</t>
  </si>
  <si>
    <t>ES(L) = MAX(EF các predecessor), thêm U</t>
  </si>
  <si>
    <t>Total Slack của L</t>
  </si>
  <si>
    <t>L nằm trên Critical Path: không còn dự trữ</t>
  </si>
  <si>
    <t>Dự án trễ (tuần)</t>
  </si>
  <si>
    <t>ES(L) mới − ES(L) cũ − Total Slack</t>
  </si>
  <si>
    <t>Thời gian dự án (tuần)</t>
  </si>
  <si>
    <t>Critical Path mới: Start → A → B → C → E → U → L → M → P → Q → R → S/T → End</t>
  </si>
  <si>
    <t>M6: 5/5 nhà hàng go-live</t>
  </si>
  <si>
    <t>Thứ Sáu cuối hoạt động Q (Charter: 30/07/2027)</t>
  </si>
  <si>
    <t>M7: nghiệm thu, đóng dự án</t>
  </si>
  <si>
    <t>Thứ Sáu cuối hoạt động S (Charter: 27/08/2027)</t>
  </si>
  <si>
    <t>Số tháng chạy ổn định trước 01/12/2027</t>
  </si>
  <si>
    <t>Charter (tam giác ràng buộc): cần ≈ 3 tháng chạy ổn định trước mùa cao điểm cuối năm</t>
  </si>
  <si>
    <t>D. TÁC ĐỘNG NGÂN SÁCH (triệu đồng)</t>
  </si>
  <si>
    <t>EAC KHÔNG ĐIỂN HÌNH</t>
  </si>
  <si>
    <t>EAC ĐIỂN HÌNH</t>
  </si>
  <si>
    <t>EAC hiện hành (sheet EVM)</t>
  </si>
  <si>
    <t>Dự báo chi phí khi hoàn thành tại ngày chốt EVM</t>
  </si>
  <si>
    <t>+ Chi phí CR-01</t>
  </si>
  <si>
    <t>Mục B</t>
  </si>
  <si>
    <t>EAC nếu chấp nhận CR-01</t>
  </si>
  <si>
    <t>EAC + chi phí CR-01</t>
  </si>
  <si>
    <t>Ngân sách đã duyệt (Charter)</t>
  </si>
  <si>
    <t>BAC + dự phòng = 1.500 triệu đồng</t>
  </si>
  <si>
    <t>Vượt ngân sách</t>
  </si>
  <si>
    <t>EAC mới − ngân sách</t>
  </si>
  <si>
    <t>Dự phòng còn lại (sheet EVM)</t>
  </si>
  <si>
    <t>Dự phòng 140 − phần đã dùng theo dự báo</t>
  </si>
  <si>
    <t>Dự phòng có đủ chi trả CR-01?</t>
  </si>
  <si>
    <t>Dự phòng dành cho rủi ro đã nhận diện, không dùng cho thay đổi phạm vi</t>
  </si>
  <si>
    <t>D2. TÁC ĐỘNG HIỆU QUẢ TÀI CHÍNH (lấy từ sheet Dòng tiền)</t>
  </si>
  <si>
    <t>Chi phí CR-01 phát sinh năm 0 (không chiết khấu); chưa tính lợi ích, chi phí vận hành của ứng dụng</t>
  </si>
  <si>
    <t>(NPV − CR) / (Σ PV chi phí + CR)</t>
  </si>
  <si>
    <t>Hoàn vốn giản đơn (năm)</t>
  </si>
  <si>
    <t>(Vốn đầu tư + CR) / dòng tiền ròng trung bình năm</t>
  </si>
  <si>
    <t>E. ĐIỀU KIỆN CHẤP NHẬN VÀ QUYẾT ĐỊNH</t>
  </si>
  <si>
    <t>KIỂM TRA</t>
  </si>
  <si>
    <t>Nghiệm thu M7 vượt hạn Charter 27/08/2027?</t>
  </si>
  <si>
    <t>Ràng buộc thời gian là ưu tiên 1 (tam giác ràng buộc của Charter)</t>
  </si>
  <si>
    <t>Thời gian chạy ổn định trước mùa cao điểm &lt; 3 tháng?</t>
  </si>
  <si>
    <t>Charter (tam giác ràng buộc)</t>
  </si>
  <si>
    <t>EAC mới vượt ngân sách 1.500 triệu đồng?</t>
  </si>
  <si>
    <t>Charter (tam giác ràng buộc, tiêu chí thành công)</t>
  </si>
  <si>
    <t>Dự phòng còn lại đủ chi trả?</t>
  </si>
  <si>
    <t>Mục D</t>
  </si>
  <si>
    <t>Khuyến nghị của PM</t>
  </si>
  <si>
    <t>Quyết định của CCB</t>
  </si>
  <si>
    <t>TỪ CHỐI đưa vào dự án; ghi vào danh mục giai đoạn 2; baseline giữ nguyên (BAC 1.360, ngân sách 1.500, 26 tuần)</t>
  </si>
  <si>
    <t>Người phê duyệt</t>
  </si>
  <si>
    <t>Lê Văn Thành – Tổng Giám đốc (Sponsor, chủ trì CCB); tham dự: Giám đốc vận hành, Kế toán trưởng, PM</t>
  </si>
  <si>
    <t>Ngày quyết định (phiên họp CCB)</t>
  </si>
  <si>
    <t>Đối chiếu Charter – WBS – lịch – ngân sách</t>
  </si>
  <si>
    <t>Cột Charter: dữ liệu nhập từ Charter (ô tô màu) · cột Kế hoạch: công thức lấy từ các sheet khác · Kết quả = Khớp khi chênh lệch bằng 0 (ngày với mốc, triệu đồng với tiền, tuần với thời gian)</t>
  </si>
  <si>
    <t>NỘI DUNG ĐỐI CHIẾU</t>
  </si>
  <si>
    <t>CHARTER / THAM CHIẾU</t>
  </si>
  <si>
    <t>KẾ HOẠCH</t>
  </si>
  <si>
    <t>NGUỒN CỦA CỘT KẾ HOẠCH</t>
  </si>
  <si>
    <t>THỜI GIAN, MỐC</t>
  </si>
  <si>
    <t>Max EF của lịch (sheet Hoạt động, lịch)</t>
  </si>
  <si>
    <t>M0 – kick-off</t>
  </si>
  <si>
    <t>Thứ Hai đầu tuần 1</t>
  </si>
  <si>
    <t>M1 – SRS và kế hoạch được duyệt</t>
  </si>
  <si>
    <t>Thứ Sáu cuối hoạt động B (SRS)</t>
  </si>
  <si>
    <t>M2 – thiết kế được duyệt</t>
  </si>
  <si>
    <t>Thứ Sáu cuối hoạt động C, D (thiết kế)</t>
  </si>
  <si>
    <t>M3 – xong SIT</t>
  </si>
  <si>
    <t>Thứ Sáu cuối hoạt động L (SIT)</t>
  </si>
  <si>
    <t>M4 – UAT đạt</t>
  </si>
  <si>
    <t>Thứ Sáu cuối hoạt động M (UAT)</t>
  </si>
  <si>
    <t>M5 – go-live pilot Cầu Giấy</t>
  </si>
  <si>
    <t>Thứ Hai đầu hoạt động P (pilot)</t>
  </si>
  <si>
    <t>M6 – 5/5 nhà hàng go-live</t>
  </si>
  <si>
    <t>Thứ Sáu cuối hoạt động Q (rollout)</t>
  </si>
  <si>
    <t>M7 – nghiệm thu, đóng dự án</t>
  </si>
  <si>
    <t>Thứ Sáu cuối hoạt động S, T (nghiệm thu, tổng kết)</t>
  </si>
  <si>
    <t>NGÂN SÁCH (triệu đồng)</t>
  </si>
  <si>
    <t>Ngân sách dự án</t>
  </si>
  <si>
    <t>BAC + dự phòng (sheet Chi phí)</t>
  </si>
  <si>
    <t>Tổng bottom-up (sheet Chi phí)</t>
  </si>
  <si>
    <t>Tổng 6 khoản dự phòng (sheet Chi phí)</t>
  </si>
  <si>
    <t>Tổng theo loại chi phí (sheet Chi phí)</t>
  </si>
  <si>
    <t>Phần mềm, cloud, dịch vụ</t>
  </si>
  <si>
    <t>Cost baseline lũy kế hết tháng 8 = BAC</t>
  </si>
  <si>
    <t>Lũy kế tháng cuối (sheet Cost baseline)</t>
  </si>
  <si>
    <t>WBS, LỊCH, CHI PHÍ</t>
  </si>
  <si>
    <t>Work package trong WBS</t>
  </si>
  <si>
    <t>Phần tử có mã hoạt động hoặc "–" (sheet WBS)</t>
  </si>
  <si>
    <t>Hoạt động A – T trong lịch</t>
  </si>
  <si>
    <t>Số dòng sheet Hoạt động, lịch trừ Start, End</t>
  </si>
  <si>
    <t>Gói quản lý chạy suốt dự án (không vào sơ đồ mạng)</t>
  </si>
  <si>
    <t>Phần tử đánh dấu "–" (sheet WBS)</t>
  </si>
  <si>
    <t>Work package có chi phí</t>
  </si>
  <si>
    <t>Bảng tổng hợp theo work package (sheet Chi phí)</t>
  </si>
  <si>
    <t>THEO DÕI, THAY ĐỔI, HIỆU QUẢ TÀI CHÍNH</t>
  </si>
  <si>
    <t>PV kỳ báo cáo EVM = lũy kế cost baseline đến hết tháng 5</t>
  </si>
  <si>
    <t>Cột Charter lấy từ sheet Cost baseline; PV lấy từ sheet EVM</t>
  </si>
  <si>
    <t>Chi phí CR-01 = ước tính của Charter (app di động)</t>
  </si>
  <si>
    <t>Bottom-up ở sheet Thay đổi</t>
  </si>
  <si>
    <t>Thời gian trễ do CR-01 = ước tính của Charter (tuần)</t>
  </si>
  <si>
    <t>CPM tính lại ở sheet Thay đổi</t>
  </si>
  <si>
    <t>Vốn đầu tư năm 0 trong dòng tiền = ngân sách</t>
  </si>
  <si>
    <t>Sheet Dòng tiền</t>
  </si>
  <si>
    <t>Số điểm đối chiếu</t>
  </si>
  <si>
    <t>Số điểm khớp</t>
  </si>
  <si>
    <t>Kết luận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</si>
</sst>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/mm/yyyy"/>
    <numFmt numFmtId="166" formatCode="0.0000"/>
    <numFmt numFmtId="167" formatCode="0.0%"/>
    <numFmt numFmtId="168" formatCode="dd/mm"/>
    <numFmt numFmtId="169" formatCode="0.0"/>
    <numFmt numFmtId="170" formatCode="#,##0.0"/>
    <numFmt numFmtId="171" formatCode="&quot;T&quot;0"/>
    <numFmt numFmtId="172" formatCode="0&quot; ngày&quot;"/>
    <numFmt numFmtId="173" formatCode="0;\-0;0"/>
    <numFmt numFmtId="174" formatCode="0.0;\-0.0;0"/>
  </numFmts>
  <fonts count="2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26"/>
      <color theme="7"/>
      <name val="Corbel"/>
      <scheme val="major"/>
    </font>
    <font>
      <b/>
      <sz val="12"/>
      <color rgb="FF262626"/>
      <name val="Calibri"/>
    </font>
    <font>
      <sz val="11"/>
      <color rgb="FF7F7F7F"/>
      <name val="Calibri"/>
    </font>
    <font>
      <b/>
      <sz val="24"/>
      <color theme="7"/>
      <name val="Corbel"/>
      <scheme val="major"/>
    </font>
    <font>
      <sz val="9"/>
      <color rgb="FF595959"/>
      <name val="Calibri"/>
    </font>
    <font>
      <b/>
      <sz val="11"/>
      <color rgb="FF262626"/>
      <name val="Calibri"/>
    </font>
    <font>
      <sz val="10"/>
      <color rgb="FF262626"/>
      <name val="Calibri"/>
    </font>
    <font>
      <sz val="11"/>
      <color rgb="FF262626"/>
      <name val="Calibri"/>
    </font>
    <font>
      <b/>
      <sz val="9"/>
      <color rgb="FF262626"/>
      <name val="Calibri"/>
    </font>
    <font>
      <b/>
      <sz val="10"/>
      <color rgb="FF262626"/>
      <name val="Calibri"/>
    </font>
    <font>
      <b/>
      <sz val="10.5"/>
      <color rgb="FF262626"/>
      <name val="Calibri"/>
    </font>
    <font>
      <sz val="10.5"/>
      <color rgb="FF262626"/>
      <name val="Calibri"/>
    </font>
    <font>
      <b/>
      <sz val="11"/>
      <color rgb="FFD64F19"/>
      <name val="Calibri"/>
    </font>
    <font>
      <sz val="10.5"/>
      <color rgb="FF595959"/>
      <name val="Calibri"/>
    </font>
    <font>
      <sz val="10"/>
      <color rgb="FF7F7F7F"/>
      <name val="Calibri"/>
    </font>
  </fonts>
  <fills count="14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BE7DC"/>
      </patternFill>
    </fill>
    <fill>
      <patternFill patternType="solid">
        <fgColor rgb="FFE9AB51"/>
      </patternFill>
    </fill>
    <fill>
      <patternFill patternType="solid">
        <fgColor rgb="FFD64F19"/>
      </patternFill>
    </fill>
    <fill>
      <patternFill patternType="solid">
        <fgColor rgb="FF8C6E8C"/>
      </patternFill>
    </fill>
    <fill>
      <patternFill patternType="solid">
        <fgColor rgb="FFE6DAE6"/>
      </patternFill>
    </fill>
    <fill>
      <patternFill patternType="solid">
        <fgColor rgb="FFF3EEF3"/>
      </patternFill>
    </fill>
  </fills>
  <borders count="10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D9D9D9"/>
      </left>
      <right/>
      <top/>
      <bottom style="hair">
        <color rgb="FFD9D9D9"/>
      </bottom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17">
    <xf numFmtId="0" fontId="0" fillId="0" borderId="0">
      <alignment horizontal="center" vertical="center"/>
    </xf>
    <xf numFmtId="0" fontId="2" fillId="0" borderId="0">
      <alignment horizontal="left" wrapText="1"/>
    </xf>
    <xf numFmtId="3" fontId="8" fillId="0" borderId="2">
      <alignment horizontal="center"/>
    </xf>
    <xf numFmtId="0" fontId="8" fillId="0" borderId="0">
      <alignment horizontal="center" wrapText="1"/>
    </xf>
    <xf numFmtId="0" fontId="1" fillId="0" borderId="0">
      <alignment horizontal="left" vertical="center"/>
    </xf>
    <xf numFmtId="9" fontId="3" fillId="0" borderId="0">
      <alignment horizontal="center" vertical="center"/>
    </xf>
    <xf numFmtId="0" fontId="7" fillId="6" borderId="1">
      <alignment horizontal="left"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horizontal="center" vertical="center" wrapText="1"/>
    </xf>
    <xf numFmtId="0" fontId="10" fillId="0" borderId="0">
      <alignment vertical="center"/>
    </xf>
    <xf numFmtId="1" fontId="11" fillId="6" borderId="1">
      <alignment horizontal="center" vertical="center"/>
    </xf>
    <xf numFmtId="0" fontId="9" fillId="2" borderId="4">
      <alignment horizontal="center"/>
    </xf>
    <xf numFmtId="0" fontId="9" fillId="3" borderId="3">
      <alignment horizontal="center"/>
    </xf>
    <xf numFmtId="0" fontId="9" fillId="4" borderId="3">
      <alignment horizontal="center"/>
    </xf>
    <xf numFmtId="0" fontId="9" fillId="5" borderId="3">
      <alignment horizontal="center"/>
    </xf>
    <xf numFmtId="0" fontId="9" fillId="7" borderId="3">
      <alignment horizontal="center"/>
    </xf>
  </cellStyleXfs>
  <cellXfs count="115">
    <xf numFmtId="0" fontId="0" fillId="0" borderId="0" xfId="0">
      <alignment horizontal="center" vertical="center"/>
    </xf>
    <xf numFmtId="0" fontId="5" fillId="0" borderId="0" xfId="0" applyFont="1" applyAlignment="1">
      <alignment horizontal="center"/>
    </xf>
    <xf numFmtId="0" fontId="8" fillId="0" borderId="2" xfId="9" applyBorder="1">
      <alignment horizontal="center" vertical="center" wrapText="1"/>
    </xf>
    <xf numFmtId="0" fontId="0" fillId="0" borderId="0" xfId="0" applyAlignment="1"/>
    <xf numFmtId="0" fontId="12" fillId="0" borderId="0" xfId="7" applyFont="1">
      <alignment vertical="center"/>
    </xf>
    <xf numFmtId="0" fontId="10" fillId="0" borderId="0" xfId="10" applyAlignment="1">
      <alignment horizontal="left" vertical="center"/>
    </xf>
    <xf numFmtId="0" fontId="17" fillId="13" borderId="5" xfId="0" applyFont="1" applyFill="1" applyBorder="1" applyAlignment="1">
      <alignment horizontal="left" vertical="center"/>
    </xf>
    <xf numFmtId="0" fontId="19" fillId="13" borderId="5" xfId="0" applyFont="1" applyFill="1" applyBorder="1" applyAlignment="1">
      <alignment horizontal="left" vertical="center"/>
    </xf>
    <xf numFmtId="0" fontId="17" fillId="13" borderId="5" xfId="0" applyFont="1" applyFill="1" applyBorder="1" applyAlignment="1">
      <alignment horizontal="center" vertical="center" wrapText="1"/>
    </xf>
    <xf numFmtId="0" fontId="19" fillId="13" borderId="5" xfId="0" applyFont="1" applyFill="1" applyBorder="1" applyAlignment="1">
      <alignment horizontal="center" vertical="center" wrapText="1"/>
    </xf>
    <xf numFmtId="0" fontId="24" fillId="13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 indent="2"/>
    </xf>
    <xf numFmtId="0" fontId="19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indent="4"/>
    </xf>
    <xf numFmtId="0" fontId="4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>
      <alignment horizontal="center" vertical="center"/>
    </xf>
    <xf numFmtId="2" fontId="5" fillId="0" borderId="5" xfId="0" applyNumberFormat="1" applyFont="1" applyBorder="1">
      <alignment horizontal="center" vertical="center"/>
    </xf>
    <xf numFmtId="164" fontId="5" fillId="0" borderId="5" xfId="0" applyNumberFormat="1" applyFont="1" applyBorder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7" applyFont="1">
      <alignment vertical="center"/>
    </xf>
    <xf numFmtId="168" fontId="16" fillId="0" borderId="0" xfId="0" applyNumberFormat="1" applyFont="1" applyAlignment="1">
      <alignment horizontal="center" textRotation="90"/>
    </xf>
    <xf numFmtId="3" fontId="8" fillId="0" borderId="2" xfId="2" applyAlignment="1">
      <alignment horizontal="center" vertical="center"/>
    </xf>
    <xf numFmtId="0" fontId="17" fillId="0" borderId="0" xfId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0" fillId="0" borderId="8" xfId="0" applyBorder="1" applyAlignment="1"/>
    <xf numFmtId="0" fontId="20" fillId="9" borderId="9" xfId="0" applyFont="1" applyFill="1" applyBorder="1">
      <alignment horizontal="center" vertical="center"/>
    </xf>
    <xf numFmtId="0" fontId="0" fillId="0" borderId="9" xfId="0" applyBorder="1" applyAlignment="1"/>
    <xf numFmtId="0" fontId="21" fillId="0" borderId="0" xfId="0" applyFont="1" applyAlignment="1">
      <alignment horizontal="right" vertical="center"/>
    </xf>
    <xf numFmtId="0" fontId="16" fillId="0" borderId="0" xfId="0" applyFont="1">
      <alignment horizontal="center" vertical="center"/>
    </xf>
    <xf numFmtId="0" fontId="22" fillId="0" borderId="0" xfId="0" applyFont="1" applyAlignment="1">
      <alignment horizontal="right" vertical="center"/>
    </xf>
    <xf numFmtId="0" fontId="0" fillId="10" borderId="0" xfId="0" applyFill="1" applyAlignment="1"/>
    <xf numFmtId="0" fontId="23" fillId="0" borderId="0" xfId="0" applyFont="1" applyAlignment="1">
      <alignment horizontal="left" vertical="center"/>
    </xf>
    <xf numFmtId="0" fontId="0" fillId="11" borderId="0" xfId="0" applyFill="1" applyAlignment="1"/>
    <xf numFmtId="0" fontId="0" fillId="12" borderId="0" xfId="0" applyFill="1" applyAlignment="1"/>
    <xf numFmtId="0" fontId="0" fillId="9" borderId="0" xfId="0" applyFill="1" applyAlignment="1"/>
    <xf numFmtId="0" fontId="17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4" fontId="19" fillId="8" borderId="5" xfId="0" applyNumberFormat="1" applyFont="1" applyFill="1" applyBorder="1" applyAlignment="1">
      <alignment horizontal="center" vertical="center" wrapText="1"/>
    </xf>
    <xf numFmtId="3" fontId="19" fillId="0" borderId="5" xfId="0" applyNumberFormat="1" applyFont="1" applyBorder="1" applyAlignment="1">
      <alignment horizontal="center" vertical="center" wrapText="1"/>
    </xf>
    <xf numFmtId="169" fontId="19" fillId="0" borderId="5" xfId="0" applyNumberFormat="1" applyFont="1" applyBorder="1" applyAlignment="1">
      <alignment horizontal="center" vertical="center" wrapText="1"/>
    </xf>
    <xf numFmtId="170" fontId="19" fillId="0" borderId="5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right" vertical="center"/>
    </xf>
    <xf numFmtId="3" fontId="17" fillId="13" borderId="5" xfId="0" applyNumberFormat="1" applyFont="1" applyFill="1" applyBorder="1" applyAlignment="1">
      <alignment horizontal="center" vertical="center" wrapText="1"/>
    </xf>
    <xf numFmtId="169" fontId="17" fillId="13" borderId="5" xfId="0" applyNumberFormat="1" applyFont="1" applyFill="1" applyBorder="1" applyAlignment="1">
      <alignment horizontal="center" vertical="center" wrapText="1"/>
    </xf>
    <xf numFmtId="170" fontId="17" fillId="13" borderId="5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9" fillId="8" borderId="5" xfId="0" applyFont="1" applyFill="1" applyBorder="1" applyAlignment="1">
      <alignment horizontal="center" vertical="center" wrapText="1"/>
    </xf>
    <xf numFmtId="171" fontId="17" fillId="0" borderId="2" xfId="0" applyNumberFormat="1" applyFont="1" applyBorder="1" applyAlignment="1">
      <alignment horizontal="center" vertical="center" wrapText="1"/>
    </xf>
    <xf numFmtId="4" fontId="19" fillId="0" borderId="5" xfId="0" applyNumberFormat="1" applyFont="1" applyBorder="1" applyAlignment="1">
      <alignment horizontal="center" vertical="center" wrapText="1"/>
    </xf>
    <xf numFmtId="1" fontId="19" fillId="8" borderId="5" xfId="0" applyNumberFormat="1" applyFont="1" applyFill="1" applyBorder="1" applyAlignment="1">
      <alignment horizontal="center" vertical="center" wrapText="1"/>
    </xf>
    <xf numFmtId="1" fontId="19" fillId="0" borderId="5" xfId="0" applyNumberFormat="1" applyFont="1" applyBorder="1" applyAlignment="1">
      <alignment horizontal="center" vertical="center" wrapText="1"/>
    </xf>
    <xf numFmtId="170" fontId="17" fillId="8" borderId="5" xfId="0" applyNumberFormat="1" applyFont="1" applyFill="1" applyBorder="1" applyAlignment="1">
      <alignment horizontal="center" vertical="center" wrapText="1"/>
    </xf>
    <xf numFmtId="170" fontId="17" fillId="0" borderId="5" xfId="0" applyNumberFormat="1" applyFont="1" applyBorder="1" applyAlignment="1">
      <alignment horizontal="center" vertical="center" wrapText="1"/>
    </xf>
    <xf numFmtId="170" fontId="19" fillId="8" borderId="5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1" fontId="17" fillId="0" borderId="5" xfId="0" applyNumberFormat="1" applyFont="1" applyBorder="1" applyAlignment="1">
      <alignment horizontal="center" vertical="center" wrapText="1"/>
    </xf>
    <xf numFmtId="168" fontId="19" fillId="0" borderId="5" xfId="0" applyNumberFormat="1" applyFont="1" applyBorder="1" applyAlignment="1">
      <alignment horizontal="center" vertical="center" textRotation="90"/>
    </xf>
    <xf numFmtId="0" fontId="17" fillId="0" borderId="5" xfId="0" applyFont="1" applyBorder="1" applyAlignment="1">
      <alignment horizontal="left" vertical="center" wrapText="1"/>
    </xf>
    <xf numFmtId="167" fontId="19" fillId="0" borderId="5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8" fillId="0" borderId="2" xfId="9" applyBorder="1" applyAlignment="1">
      <alignment horizontal="left" vertical="center" wrapText="1"/>
    </xf>
    <xf numFmtId="167" fontId="19" fillId="8" borderId="5" xfId="0" applyNumberFormat="1" applyFont="1" applyFill="1" applyBorder="1" applyAlignment="1">
      <alignment horizontal="center" vertical="center" wrapText="1"/>
    </xf>
    <xf numFmtId="3" fontId="19" fillId="8" borderId="5" xfId="0" applyNumberFormat="1" applyFont="1" applyFill="1" applyBorder="1" applyAlignment="1">
      <alignment horizontal="center" vertical="center" wrapText="1"/>
    </xf>
    <xf numFmtId="9" fontId="19" fillId="8" borderId="5" xfId="0" applyNumberFormat="1" applyFont="1" applyFill="1" applyBorder="1" applyAlignment="1">
      <alignment horizontal="center" vertical="center" wrapText="1"/>
    </xf>
    <xf numFmtId="166" fontId="19" fillId="0" borderId="5" xfId="0" applyNumberFormat="1" applyFont="1" applyBorder="1" applyAlignment="1">
      <alignment horizontal="center" vertical="center" wrapText="1"/>
    </xf>
    <xf numFmtId="167" fontId="17" fillId="8" borderId="5" xfId="0" applyNumberFormat="1" applyFont="1" applyFill="1" applyBorder="1" applyAlignment="1">
      <alignment horizontal="center" vertical="center" wrapText="1"/>
    </xf>
    <xf numFmtId="2" fontId="17" fillId="8" borderId="5" xfId="0" applyNumberFormat="1" applyFont="1" applyFill="1" applyBorder="1" applyAlignment="1">
      <alignment horizontal="center" vertical="center" wrapText="1"/>
    </xf>
    <xf numFmtId="164" fontId="19" fillId="0" borderId="5" xfId="0" applyNumberFormat="1" applyFont="1" applyBorder="1" applyAlignment="1">
      <alignment horizontal="center" vertical="center" wrapText="1"/>
    </xf>
    <xf numFmtId="2" fontId="19" fillId="8" borderId="5" xfId="0" applyNumberFormat="1" applyFont="1" applyFill="1" applyBorder="1" applyAlignment="1">
      <alignment horizontal="center" vertical="center" wrapText="1"/>
    </xf>
    <xf numFmtId="2" fontId="19" fillId="0" borderId="5" xfId="0" applyNumberFormat="1" applyFont="1" applyBorder="1" applyAlignment="1">
      <alignment horizontal="center" vertical="center" wrapText="1"/>
    </xf>
    <xf numFmtId="167" fontId="17" fillId="13" borderId="5" xfId="0" applyNumberFormat="1" applyFont="1" applyFill="1" applyBorder="1" applyAlignment="1">
      <alignment horizontal="center" vertical="center" wrapText="1"/>
    </xf>
    <xf numFmtId="2" fontId="17" fillId="13" borderId="5" xfId="0" applyNumberFormat="1" applyFont="1" applyFill="1" applyBorder="1" applyAlignment="1">
      <alignment horizontal="center" vertical="center" wrapText="1"/>
    </xf>
    <xf numFmtId="49" fontId="17" fillId="0" borderId="5" xfId="0" applyNumberFormat="1" applyFont="1" applyBorder="1" applyAlignment="1">
      <alignment horizontal="center" vertical="center" wrapText="1"/>
    </xf>
    <xf numFmtId="169" fontId="17" fillId="0" borderId="5" xfId="0" applyNumberFormat="1" applyFont="1" applyBorder="1" applyAlignment="1">
      <alignment horizontal="center" vertical="center" wrapText="1"/>
    </xf>
    <xf numFmtId="169" fontId="17" fillId="8" borderId="5" xfId="0" applyNumberFormat="1" applyFont="1" applyFill="1" applyBorder="1" applyAlignment="1">
      <alignment horizontal="center" vertical="center" wrapText="1"/>
    </xf>
    <xf numFmtId="164" fontId="17" fillId="8" borderId="5" xfId="0" applyNumberFormat="1" applyFont="1" applyFill="1" applyBorder="1" applyAlignment="1">
      <alignment horizontal="center" vertical="center" wrapText="1"/>
    </xf>
    <xf numFmtId="1" fontId="17" fillId="8" borderId="5" xfId="0" applyNumberFormat="1" applyFont="1" applyFill="1" applyBorder="1" applyAlignment="1">
      <alignment horizontal="center" vertical="center" wrapText="1"/>
    </xf>
    <xf numFmtId="172" fontId="17" fillId="8" borderId="5" xfId="0" applyNumberFormat="1" applyFont="1" applyFill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167" fontId="17" fillId="0" borderId="5" xfId="0" applyNumberFormat="1" applyFont="1" applyBorder="1" applyAlignment="1">
      <alignment horizontal="center" vertical="center" wrapText="1"/>
    </xf>
    <xf numFmtId="2" fontId="17" fillId="0" borderId="5" xfId="0" applyNumberFormat="1" applyFont="1" applyBorder="1" applyAlignment="1">
      <alignment horizontal="center" vertical="center" wrapText="1"/>
    </xf>
    <xf numFmtId="173" fontId="19" fillId="0" borderId="5" xfId="0" applyNumberFormat="1" applyFont="1" applyBorder="1" applyAlignment="1">
      <alignment horizontal="center" vertical="center" wrapText="1"/>
    </xf>
    <xf numFmtId="164" fontId="19" fillId="8" borderId="5" xfId="0" applyNumberFormat="1" applyFont="1" applyFill="1" applyBorder="1" applyAlignment="1">
      <alignment horizontal="center" vertical="center" wrapText="1"/>
    </xf>
    <xf numFmtId="174" fontId="19" fillId="0" borderId="5" xfId="0" applyNumberFormat="1" applyFont="1" applyBorder="1" applyAlignment="1">
      <alignment horizontal="center" vertical="center" wrapText="1"/>
    </xf>
    <xf numFmtId="1" fontId="17" fillId="13" borderId="5" xfId="0" applyNumberFormat="1" applyFont="1" applyFill="1" applyBorder="1" applyAlignment="1">
      <alignment horizontal="center" vertical="center" wrapText="1"/>
    </xf>
    <xf numFmtId="0" fontId="8" fillId="0" borderId="2" xfId="9" applyBorder="1">
      <alignment horizontal="center" vertical="center" wrapText="1"/>
    </xf>
    <xf numFmtId="0" fontId="0" fillId="0" borderId="2" xfId="0" applyBorder="1" applyAlignment="1"/>
    <xf numFmtId="1" fontId="13" fillId="8" borderId="5" xfId="0" applyNumberFormat="1" applyFont="1" applyFill="1" applyBorder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49" fontId="13" fillId="8" borderId="5" xfId="0" applyNumberFormat="1" applyFont="1" applyFill="1" applyBorder="1">
      <alignment horizontal="center"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/>
    <xf numFmtId="164" fontId="13" fillId="8" borderId="5" xfId="0" applyNumberFormat="1" applyFont="1" applyFill="1" applyBorder="1">
      <alignment horizontal="center" vertical="center"/>
    </xf>
    <xf numFmtId="166" fontId="13" fillId="8" borderId="5" xfId="0" applyNumberFormat="1" applyFont="1" applyFill="1" applyBorder="1">
      <alignment horizontal="center" vertical="center"/>
    </xf>
    <xf numFmtId="167" fontId="13" fillId="8" borderId="5" xfId="0" applyNumberFormat="1" applyFont="1" applyFill="1" applyBorder="1">
      <alignment horizontal="center" vertical="center"/>
    </xf>
    <xf numFmtId="0" fontId="8" fillId="0" borderId="2" xfId="8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167" fontId="19" fillId="0" borderId="5" xfId="0" applyNumberFormat="1" applyFont="1" applyBorder="1" applyAlignment="1">
      <alignment horizontal="center" vertical="center" wrapText="1"/>
    </xf>
    <xf numFmtId="170" fontId="19" fillId="0" borderId="5" xfId="0" applyNumberFormat="1" applyFont="1" applyBorder="1" applyAlignment="1">
      <alignment horizontal="center" vertical="center" wrapText="1"/>
    </xf>
    <xf numFmtId="170" fontId="17" fillId="8" borderId="5" xfId="0" applyNumberFormat="1" applyFont="1" applyFill="1" applyBorder="1" applyAlignment="1">
      <alignment horizontal="center" vertical="center" wrapText="1"/>
    </xf>
    <xf numFmtId="170" fontId="17" fillId="0" borderId="5" xfId="0" applyNumberFormat="1" applyFont="1" applyBorder="1" applyAlignment="1">
      <alignment horizontal="center" vertical="center" wrapText="1"/>
    </xf>
    <xf numFmtId="170" fontId="17" fillId="13" borderId="5" xfId="0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8" fillId="0" borderId="2" xfId="9" applyBorder="1" applyAlignment="1">
      <alignment horizontal="left" vertical="center" wrapText="1"/>
    </xf>
    <xf numFmtId="171" fontId="19" fillId="0" borderId="5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 vertical="center" wrapText="1"/>
    </xf>
    <xf numFmtId="164" fontId="19" fillId="0" borderId="5" xfId="0" applyNumberFormat="1" applyFont="1" applyBorder="1" applyAlignment="1">
      <alignment horizontal="left" vertical="center"/>
    </xf>
    <xf numFmtId="0" fontId="17" fillId="8" borderId="5" xfId="0" applyFont="1" applyFill="1" applyBorder="1" applyAlignment="1">
      <alignment horizontal="center" vertical="center" wrapText="1"/>
    </xf>
  </cellXfs>
  <cellStyles count="17">
    <cellStyle name="% complete" xfId="14" xr:uid="{00000000-0005-0000-0000-000010000000}"/>
    <cellStyle name="% complete (beyond plan) legend" xfId="16" xr:uid="{00000000-0005-0000-0000-000012000000}"/>
    <cellStyle name="Activity" xfId="1" xr:uid="{00000000-0005-0000-0000-000002000000}"/>
    <cellStyle name="Actual (beyond plan) legend" xfId="15" xr:uid="{00000000-0005-0000-0000-000011000000}"/>
    <cellStyle name="Actual legend" xfId="13" xr:uid="{00000000-0005-0000-0000-00000F000000}"/>
    <cellStyle name="Explanatory Text" xfId="10" builtinId="53"/>
    <cellStyle name="Heading 2" xfId="8" builtinId="17"/>
    <cellStyle name="Heading 3" xfId="9" builtinId="18"/>
    <cellStyle name="Label" xfId="4" xr:uid="{00000000-0005-0000-0000-000005000000}"/>
    <cellStyle name="Normal" xfId="0" builtinId="0"/>
    <cellStyle name="Percent Complete" xfId="5" xr:uid="{00000000-0005-0000-0000-000006000000}"/>
    <cellStyle name="Period Headers" xfId="2" xr:uid="{00000000-0005-0000-0000-000003000000}"/>
    <cellStyle name="Period Highlight Control" xfId="6" xr:uid="{00000000-0005-0000-0000-000007000000}"/>
    <cellStyle name="Period Value" xfId="11" xr:uid="{00000000-0005-0000-0000-00000D000000}"/>
    <cellStyle name="Plan legend" xfId="12" xr:uid="{00000000-0005-0000-0000-00000E000000}"/>
    <cellStyle name="Project Headers" xfId="3" xr:uid="{00000000-0005-0000-0000-000004000000}"/>
    <cellStyle name="Title" xfId="7" builtinId="15"/>
  </cellStyles>
  <dxfs count="11">
    <dxf>
      <font>
        <b/>
        <color rgb="FFD64F19"/>
      </font>
    </dxf>
    <dxf>
      <font>
        <b/>
        <color rgb="FFD64F19"/>
        <name val="Calibri"/>
      </font>
    </dxf>
    <dxf>
      <font>
        <b/>
        <color rgb="FFD64F19"/>
        <name val="Calibri"/>
      </font>
    </dxf>
    <dxf>
      <font>
        <b/>
        <color rgb="FFD64F19"/>
        <name val="Calibri"/>
      </font>
    </dxf>
    <dxf>
      <fill>
        <patternFill patternType="solid">
          <fgColor rgb="FFFBE7DC"/>
          <bgColor rgb="FFFBE7DC"/>
        </patternFill>
      </fill>
    </dxf>
    <dxf>
      <fill>
        <patternFill patternType="solid">
          <bgColor rgb="FFE6DAE6"/>
        </patternFill>
      </fill>
    </dxf>
    <dxf>
      <fill>
        <patternFill patternType="solid">
          <bgColor rgb="FF8C6E8C"/>
        </patternFill>
      </fill>
    </dxf>
    <dxf>
      <fill>
        <patternFill patternType="solid">
          <bgColor rgb="FFD64F19"/>
        </patternFill>
      </fill>
    </dxf>
    <dxf>
      <font>
        <b/>
        <color rgb="FFD64F19"/>
      </font>
    </dxf>
    <dxf>
      <font>
        <b/>
        <color rgb="FFD64F19"/>
      </font>
    </dxf>
    <dxf>
      <font>
        <b/>
        <color rgb="FFD64F1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'Cost baseline'!$B$20</c:f>
              <c:strCache>
                <c:ptCount val="1"/>
                <c:pt idx="0">
                  <c:v>Chi phí từng tháng</c:v>
                </c:pt>
              </c:strCache>
            </c:strRef>
          </c:tx>
          <c:spPr>
            <a:solidFill>
              <a:srgbClr val="7E4E92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baseline'!$C$19:$H$19</c:f>
              <c:strCache>
                <c:ptCount val="6"/>
                <c:pt idx="0">
                  <c:v>T3</c:v>
                </c:pt>
                <c:pt idx="1">
                  <c:v>T4</c:v>
                </c:pt>
                <c:pt idx="2">
                  <c:v>T5</c:v>
                </c:pt>
                <c:pt idx="3">
                  <c:v>T6</c:v>
                </c:pt>
                <c:pt idx="4">
                  <c:v>T7</c:v>
                </c:pt>
                <c:pt idx="5">
                  <c:v>T8</c:v>
                </c:pt>
              </c:strCache>
            </c:strRef>
          </c:cat>
          <c:val>
            <c:numRef>
              <c:f>'Cost baseline'!$C$20:$H$20</c:f>
              <c:numCache>
                <c:formatCode>#,##0</c:formatCode>
                <c:ptCount val="6"/>
                <c:pt idx="0">
                  <c:v>110.4551282051282</c:v>
                </c:pt>
                <c:pt idx="1">
                  <c:v>197.11410256410258</c:v>
                </c:pt>
                <c:pt idx="2">
                  <c:v>446.26410256410259</c:v>
                </c:pt>
                <c:pt idx="3">
                  <c:v>469.50512820512824</c:v>
                </c:pt>
                <c:pt idx="4">
                  <c:v>65.830769230769235</c:v>
                </c:pt>
                <c:pt idx="5">
                  <c:v>70.830769230769235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DE7-4873-A100-C2DD9C6F07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1"/>
        </c:dLbls>
        <c:gapWidth val="18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'Cost baseline'!$B$21</c:f>
              <c:strCache>
                <c:ptCount val="1"/>
                <c:pt idx="0">
                  <c:v>Lũy kế (cost baseline)</c:v>
                </c:pt>
              </c:strCache>
            </c:strRef>
          </c:tx>
          <c:spPr>
            <a:ln w="28575">
              <a:solidFill>
                <a:srgbClr val="D64F1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D64F19"/>
              </a:solidFill>
              <a:ln>
                <a:solidFill>
                  <a:srgbClr val="FFFFFF"/>
                </a:solidFill>
                <a:prstDash val="solid"/>
              </a:ln>
            </c:spPr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E7-4873-A100-C2DD9C6F07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'Cost baseline'!$C$19:$H$19</c:f>
              <c:strCache>
                <c:ptCount val="6"/>
                <c:pt idx="0">
                  <c:v>T3</c:v>
                </c:pt>
                <c:pt idx="1">
                  <c:v>T4</c:v>
                </c:pt>
                <c:pt idx="2">
                  <c:v>T5</c:v>
                </c:pt>
                <c:pt idx="3">
                  <c:v>T6</c:v>
                </c:pt>
                <c:pt idx="4">
                  <c:v>T7</c:v>
                </c:pt>
                <c:pt idx="5">
                  <c:v>T8</c:v>
                </c:pt>
              </c:strCache>
            </c:strRef>
          </c:cat>
          <c:val>
            <c:numRef>
              <c:f>'Cost baseline'!$C$21:$H$21</c:f>
              <c:numCache>
                <c:formatCode>#,##0</c:formatCode>
                <c:ptCount val="6"/>
                <c:pt idx="0">
                  <c:v>110.4551282051282</c:v>
                </c:pt>
                <c:pt idx="1">
                  <c:v>307.56923076923078</c:v>
                </c:pt>
                <c:pt idx="2">
                  <c:v>753.83333333333337</c:v>
                </c:pt>
                <c:pt idx="3">
                  <c:v>1223.3384615384616</c:v>
                </c:pt>
                <c:pt idx="4">
                  <c:v>1289.1692307692308</c:v>
                </c:pt>
                <c:pt idx="5">
                  <c:v>1360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E7-4873-A100-C2DD9C6F0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400"/>
          <c:min val="0"/>
        </c:scaling>
        <c:delete val="0"/>
        <c:axPos val="l"/>
        <c:majorGridlines>
          <c:spPr>
            <a:ln w="9525">
              <a:solidFill>
                <a:srgbClr val="D9D9D9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  <c:majorUnit val="200"/>
      </c:valAx>
    </c:plotArea>
    <c:legend>
      <c:legendPos val="t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EVM!$C$84</c:f>
              <c:strCache>
                <c:ptCount val="1"/>
                <c:pt idx="0">
                  <c:v>PV (cost baseline)</c:v>
                </c:pt>
              </c:strCache>
            </c:strRef>
          </c:tx>
          <c:spPr>
            <a:ln w="28575">
              <a:solidFill>
                <a:srgbClr val="7E4E92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7E4E92"/>
              </a:solidFill>
              <a:ln>
                <a:solidFill>
                  <a:srgbClr val="7E4E92"/>
                </a:solidFill>
                <a:prstDash val="solid"/>
              </a:ln>
            </c:spPr>
          </c:marker>
          <c:cat>
            <c:strRef>
              <c:f>EVM!$D$83:$I$83</c:f>
              <c:strCache>
                <c:ptCount val="6"/>
                <c:pt idx="0">
                  <c:v>T3</c:v>
                </c:pt>
                <c:pt idx="1">
                  <c:v>T4</c:v>
                </c:pt>
                <c:pt idx="2">
                  <c:v>T5</c:v>
                </c:pt>
                <c:pt idx="3">
                  <c:v>T6</c:v>
                </c:pt>
                <c:pt idx="4">
                  <c:v>T7</c:v>
                </c:pt>
                <c:pt idx="5">
                  <c:v>T8</c:v>
                </c:pt>
              </c:strCache>
            </c:strRef>
          </c:cat>
          <c:val>
            <c:numRef>
              <c:f>EVM!$D$84:$I$84</c:f>
              <c:numCache>
                <c:formatCode>#,##0</c:formatCode>
                <c:ptCount val="6"/>
                <c:pt idx="0">
                  <c:v>110.4551282051282</c:v>
                </c:pt>
                <c:pt idx="1">
                  <c:v>307.56923076923078</c:v>
                </c:pt>
                <c:pt idx="2">
                  <c:v>753.83333333333337</c:v>
                </c:pt>
                <c:pt idx="3">
                  <c:v>1223.3384615384616</c:v>
                </c:pt>
                <c:pt idx="4">
                  <c:v>1289.1692307692308</c:v>
                </c:pt>
                <c:pt idx="5">
                  <c:v>1360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3-4652-9CBC-88EEBF43BA8F}"/>
            </c:ext>
          </c:extLst>
        </c:ser>
        <c:ser>
          <c:idx val="1"/>
          <c:order val="1"/>
          <c:tx>
            <c:strRef>
              <c:f>EVM!$C$85</c:f>
              <c:strCache>
                <c:ptCount val="1"/>
                <c:pt idx="0">
                  <c:v>EV (giá trị thu được)</c:v>
                </c:pt>
              </c:strCache>
            </c:strRef>
          </c:tx>
          <c:spPr>
            <a:ln w="28575">
              <a:solidFill>
                <a:srgbClr val="D64F1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D64F19"/>
              </a:solidFill>
              <a:ln>
                <a:solidFill>
                  <a:srgbClr val="D64F19"/>
                </a:solidFill>
                <a:prstDash val="solid"/>
              </a:ln>
            </c:spPr>
          </c:marker>
          <c:cat>
            <c:strRef>
              <c:f>EVM!$D$83:$I$83</c:f>
              <c:strCache>
                <c:ptCount val="6"/>
                <c:pt idx="0">
                  <c:v>T3</c:v>
                </c:pt>
                <c:pt idx="1">
                  <c:v>T4</c:v>
                </c:pt>
                <c:pt idx="2">
                  <c:v>T5</c:v>
                </c:pt>
                <c:pt idx="3">
                  <c:v>T6</c:v>
                </c:pt>
                <c:pt idx="4">
                  <c:v>T7</c:v>
                </c:pt>
                <c:pt idx="5">
                  <c:v>T8</c:v>
                </c:pt>
              </c:strCache>
            </c:strRef>
          </c:cat>
          <c:val>
            <c:numRef>
              <c:f>EVM!$D$85:$I$85</c:f>
              <c:numCache>
                <c:formatCode>#,##0</c:formatCode>
                <c:ptCount val="6"/>
                <c:pt idx="0">
                  <c:v>110.4551282051282</c:v>
                </c:pt>
                <c:pt idx="1">
                  <c:v>307.56923076923078</c:v>
                </c:pt>
                <c:pt idx="2">
                  <c:v>712.23333333333323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3-4652-9CBC-88EEBF43BA8F}"/>
            </c:ext>
          </c:extLst>
        </c:ser>
        <c:ser>
          <c:idx val="2"/>
          <c:order val="2"/>
          <c:tx>
            <c:strRef>
              <c:f>EVM!$C$86</c:f>
              <c:strCache>
                <c:ptCount val="1"/>
                <c:pt idx="0">
                  <c:v>AC (chi phí thực tế)</c:v>
                </c:pt>
              </c:strCache>
            </c:strRef>
          </c:tx>
          <c:spPr>
            <a:ln w="28575">
              <a:solidFill>
                <a:srgbClr val="262626"/>
              </a:solidFill>
              <a:prstDash val="dash"/>
            </a:ln>
          </c:spPr>
          <c:marker>
            <c:symbol val="square"/>
            <c:size val="7"/>
            <c:spPr>
              <a:solidFill>
                <a:srgbClr val="262626"/>
              </a:solidFill>
              <a:ln>
                <a:solidFill>
                  <a:srgbClr val="262626"/>
                </a:solidFill>
                <a:prstDash val="solid"/>
              </a:ln>
            </c:spPr>
          </c:marker>
          <c:cat>
            <c:strRef>
              <c:f>EVM!$D$83:$I$83</c:f>
              <c:strCache>
                <c:ptCount val="6"/>
                <c:pt idx="0">
                  <c:v>T3</c:v>
                </c:pt>
                <c:pt idx="1">
                  <c:v>T4</c:v>
                </c:pt>
                <c:pt idx="2">
                  <c:v>T5</c:v>
                </c:pt>
                <c:pt idx="3">
                  <c:v>T6</c:v>
                </c:pt>
                <c:pt idx="4">
                  <c:v>T7</c:v>
                </c:pt>
                <c:pt idx="5">
                  <c:v>T8</c:v>
                </c:pt>
              </c:strCache>
            </c:strRef>
          </c:cat>
          <c:val>
            <c:numRef>
              <c:f>EVM!$D$86:$I$86</c:f>
              <c:numCache>
                <c:formatCode>#,##0</c:formatCode>
                <c:ptCount val="6"/>
                <c:pt idx="0">
                  <c:v>111.955128</c:v>
                </c:pt>
                <c:pt idx="1">
                  <c:v>315.569231</c:v>
                </c:pt>
                <c:pt idx="2">
                  <c:v>776.83333333333326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B3-4652-9CBC-88EEBF43BA8F}"/>
            </c:ext>
          </c:extLst>
        </c:ser>
        <c:ser>
          <c:idx val="3"/>
          <c:order val="3"/>
          <c:tx>
            <c:strRef>
              <c:f>EVM!$C$87</c:f>
              <c:strCache>
                <c:ptCount val="1"/>
                <c:pt idx="0">
                  <c:v>EAC không điển hình</c:v>
                </c:pt>
              </c:strCache>
            </c:strRef>
          </c:tx>
          <c:spPr>
            <a:ln w="22225">
              <a:solidFill>
                <a:srgbClr val="262626"/>
              </a:solidFill>
              <a:prstDash val="sysDot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262626"/>
                </a:solidFill>
                <a:prstDash val="solid"/>
              </a:ln>
            </c:spPr>
          </c:marker>
          <c:cat>
            <c:strRef>
              <c:f>EVM!$D$83:$I$83</c:f>
              <c:strCache>
                <c:ptCount val="6"/>
                <c:pt idx="0">
                  <c:v>T3</c:v>
                </c:pt>
                <c:pt idx="1">
                  <c:v>T4</c:v>
                </c:pt>
                <c:pt idx="2">
                  <c:v>T5</c:v>
                </c:pt>
                <c:pt idx="3">
                  <c:v>T6</c:v>
                </c:pt>
                <c:pt idx="4">
                  <c:v>T7</c:v>
                </c:pt>
                <c:pt idx="5">
                  <c:v>T8</c:v>
                </c:pt>
              </c:strCache>
            </c:strRef>
          </c:cat>
          <c:val>
            <c:numRef>
              <c:f>EVM!$D$87:$I$87</c:f>
              <c:numCache>
                <c:formatCode>General</c:formatCode>
                <c:ptCount val="6"/>
                <c:pt idx="2" formatCode="#,##0">
                  <c:v>776.83333333333326</c:v>
                </c:pt>
                <c:pt idx="5" formatCode="#,##0">
                  <c:v>1424.6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B3-4652-9CBC-88EEBF43B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600"/>
          <c:min val="0"/>
        </c:scaling>
        <c:delete val="0"/>
        <c:axPos val="l"/>
        <c:majorGridlines>
          <c:spPr>
            <a:ln w="9525">
              <a:solidFill>
                <a:srgbClr val="D9D9D9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  <c:majorUnit val="200"/>
      </c:valAx>
    </c:plotArea>
    <c:legend>
      <c:legendPos val="t"/>
      <c:overlay val="1"/>
    </c:legend>
    <c:plotVisOnly val="1"/>
    <c:dispBlanksAs val="span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</xdr:row>
      <xdr:rowOff>0</xdr:rowOff>
    </xdr:from>
    <xdr:ext cx="86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88</xdr:row>
      <xdr:rowOff>0</xdr:rowOff>
    </xdr:from>
    <xdr:ext cx="86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I44"/>
  <sheetViews>
    <sheetView showGridLines="0" tabSelected="1" workbookViewId="0"/>
  </sheetViews>
  <sheetFormatPr defaultRowHeight="14.4" x14ac:dyDescent="0.3"/>
  <cols>
    <col min="1" max="1" width="2.6640625" style="3" customWidth="1"/>
    <col min="2" max="2" width="8" style="3" customWidth="1"/>
    <col min="3" max="3" width="34" style="3" customWidth="1"/>
    <col min="4" max="4" width="36" style="3" customWidth="1"/>
    <col min="5" max="5" width="14" style="3" customWidth="1"/>
    <col min="6" max="6" width="7" style="3" customWidth="1"/>
    <col min="7" max="7" width="9" style="3" customWidth="1"/>
    <col min="8" max="8" width="12" style="3" customWidth="1"/>
    <col min="9" max="9" width="10" style="3" customWidth="1"/>
  </cols>
  <sheetData>
    <row r="1" spans="2:9" ht="42" customHeight="1" x14ac:dyDescent="0.3">
      <c r="B1" s="4" t="s">
        <v>0</v>
      </c>
    </row>
    <row r="2" spans="2:9" ht="21" customHeight="1" x14ac:dyDescent="0.3">
      <c r="B2" s="5" t="s">
        <v>1</v>
      </c>
    </row>
    <row r="3" spans="2:9" ht="30" customHeight="1" x14ac:dyDescent="0.3">
      <c r="B3" s="90" t="s">
        <v>2</v>
      </c>
      <c r="C3" s="90" t="s">
        <v>3</v>
      </c>
      <c r="D3" s="90" t="s">
        <v>4</v>
      </c>
      <c r="E3" s="90" t="s">
        <v>5</v>
      </c>
      <c r="F3" s="90" t="s">
        <v>6</v>
      </c>
      <c r="G3" s="90" t="s">
        <v>7</v>
      </c>
      <c r="H3" s="90" t="s">
        <v>8</v>
      </c>
      <c r="I3" s="90" t="s">
        <v>9</v>
      </c>
    </row>
    <row r="4" spans="2:9" ht="12" customHeight="1" x14ac:dyDescent="0.3">
      <c r="B4" s="91"/>
      <c r="C4" s="91"/>
      <c r="D4" s="91"/>
      <c r="E4" s="91"/>
      <c r="F4" s="91"/>
      <c r="G4" s="91"/>
      <c r="H4" s="91"/>
      <c r="I4" s="91"/>
    </row>
    <row r="5" spans="2:9" ht="18" customHeight="1" x14ac:dyDescent="0.3">
      <c r="B5" s="6" t="s">
        <v>10</v>
      </c>
      <c r="C5" s="6" t="s">
        <v>11</v>
      </c>
      <c r="D5" s="7" t="s">
        <v>12</v>
      </c>
      <c r="E5" s="7" t="s">
        <v>13</v>
      </c>
      <c r="F5" s="8"/>
      <c r="G5" s="9"/>
      <c r="H5" s="9"/>
      <c r="I5" s="10"/>
    </row>
    <row r="6" spans="2:9" ht="18" customHeight="1" x14ac:dyDescent="0.3">
      <c r="B6" s="6" t="s">
        <v>14</v>
      </c>
      <c r="C6" s="6" t="s">
        <v>15</v>
      </c>
      <c r="D6" s="7" t="s">
        <v>16</v>
      </c>
      <c r="E6" s="7" t="s">
        <v>17</v>
      </c>
      <c r="F6" s="8"/>
      <c r="G6" s="9"/>
      <c r="H6" s="9"/>
      <c r="I6" s="10"/>
    </row>
    <row r="7" spans="2:9" ht="18" customHeight="1" x14ac:dyDescent="0.3">
      <c r="B7" s="11" t="s">
        <v>18</v>
      </c>
      <c r="C7" s="12" t="s">
        <v>19</v>
      </c>
      <c r="D7" s="11" t="s">
        <v>20</v>
      </c>
      <c r="E7" s="11" t="s">
        <v>17</v>
      </c>
      <c r="F7" s="13"/>
      <c r="G7" s="13"/>
      <c r="H7" s="13"/>
      <c r="I7" s="14"/>
    </row>
    <row r="8" spans="2:9" ht="18" customHeight="1" x14ac:dyDescent="0.3">
      <c r="B8" s="11" t="s">
        <v>21</v>
      </c>
      <c r="C8" s="15" t="s">
        <v>22</v>
      </c>
      <c r="D8" s="11" t="s">
        <v>23</v>
      </c>
      <c r="E8" s="11" t="s">
        <v>17</v>
      </c>
      <c r="F8" s="13" t="s">
        <v>24</v>
      </c>
      <c r="G8" s="13"/>
      <c r="H8" s="13"/>
      <c r="I8" s="14"/>
    </row>
    <row r="9" spans="2:9" ht="18" customHeight="1" x14ac:dyDescent="0.3">
      <c r="B9" s="11" t="s">
        <v>25</v>
      </c>
      <c r="C9" s="15" t="s">
        <v>26</v>
      </c>
      <c r="D9" s="11" t="s">
        <v>27</v>
      </c>
      <c r="E9" s="11" t="s">
        <v>17</v>
      </c>
      <c r="F9" s="13" t="s">
        <v>24</v>
      </c>
      <c r="G9" s="13"/>
      <c r="H9" s="13"/>
      <c r="I9" s="14"/>
    </row>
    <row r="10" spans="2:9" ht="18" customHeight="1" x14ac:dyDescent="0.3">
      <c r="B10" s="11" t="s">
        <v>28</v>
      </c>
      <c r="C10" s="15" t="s">
        <v>29</v>
      </c>
      <c r="D10" s="11" t="s">
        <v>30</v>
      </c>
      <c r="E10" s="11" t="s">
        <v>31</v>
      </c>
      <c r="F10" s="13" t="s">
        <v>24</v>
      </c>
      <c r="G10" s="13"/>
      <c r="H10" s="13"/>
      <c r="I10" s="14"/>
    </row>
    <row r="11" spans="2:9" ht="18" customHeight="1" x14ac:dyDescent="0.3">
      <c r="B11" s="11" t="s">
        <v>32</v>
      </c>
      <c r="C11" s="12" t="s">
        <v>33</v>
      </c>
      <c r="D11" s="11" t="s">
        <v>34</v>
      </c>
      <c r="E11" s="11" t="s">
        <v>17</v>
      </c>
      <c r="F11" s="13"/>
      <c r="G11" s="13"/>
      <c r="H11" s="13"/>
      <c r="I11" s="14"/>
    </row>
    <row r="12" spans="2:9" ht="18" customHeight="1" x14ac:dyDescent="0.3">
      <c r="B12" s="11" t="s">
        <v>35</v>
      </c>
      <c r="C12" s="15" t="s">
        <v>36</v>
      </c>
      <c r="D12" s="11" t="s">
        <v>37</v>
      </c>
      <c r="E12" s="11" t="s">
        <v>38</v>
      </c>
      <c r="F12" s="13" t="s">
        <v>24</v>
      </c>
      <c r="G12" s="13"/>
      <c r="H12" s="13"/>
      <c r="I12" s="14"/>
    </row>
    <row r="13" spans="2:9" ht="18" customHeight="1" x14ac:dyDescent="0.3">
      <c r="B13" s="11" t="s">
        <v>39</v>
      </c>
      <c r="C13" s="15" t="s">
        <v>40</v>
      </c>
      <c r="D13" s="11" t="s">
        <v>41</v>
      </c>
      <c r="E13" s="11" t="s">
        <v>42</v>
      </c>
      <c r="F13" s="13" t="s">
        <v>24</v>
      </c>
      <c r="G13" s="13"/>
      <c r="H13" s="13"/>
      <c r="I13" s="14"/>
    </row>
    <row r="14" spans="2:9" ht="18" customHeight="1" x14ac:dyDescent="0.3">
      <c r="B14" s="6" t="s">
        <v>43</v>
      </c>
      <c r="C14" s="6" t="s">
        <v>44</v>
      </c>
      <c r="D14" s="7" t="s">
        <v>45</v>
      </c>
      <c r="E14" s="7" t="s">
        <v>46</v>
      </c>
      <c r="F14" s="8"/>
      <c r="G14" s="9"/>
      <c r="H14" s="9"/>
      <c r="I14" s="10"/>
    </row>
    <row r="15" spans="2:9" ht="18" customHeight="1" x14ac:dyDescent="0.3">
      <c r="B15" s="11" t="s">
        <v>47</v>
      </c>
      <c r="C15" s="12" t="s">
        <v>48</v>
      </c>
      <c r="D15" s="11" t="s">
        <v>49</v>
      </c>
      <c r="E15" s="11" t="s">
        <v>46</v>
      </c>
      <c r="F15" s="13" t="s">
        <v>50</v>
      </c>
      <c r="G15" s="13">
        <f>IFERROR(INDEX('Hoạt động, lịch'!$I$5:$I$26,MATCH($F15,'Hoạt động, lịch'!$B$5:$B$26,0)),"")</f>
        <v>3</v>
      </c>
      <c r="H15" s="13" t="str">
        <f>IFERROR(INDEX('Hoạt động, lịch'!$S$5:$S$26,MATCH($F15,'Hoạt động, lịch'!$B$5:$B$26,0)),"")</f>
        <v>Tuần 1–3</v>
      </c>
      <c r="I15" s="14" t="str">
        <f>IFERROR(INDEX('Hoạt động, lịch'!$R$5:$R$26,MATCH($F15,'Hoạt động, lịch'!$B$5:$B$26,0)),"")</f>
        <v>Critical</v>
      </c>
    </row>
    <row r="16" spans="2:9" ht="18" customHeight="1" x14ac:dyDescent="0.3">
      <c r="B16" s="11" t="s">
        <v>51</v>
      </c>
      <c r="C16" s="12" t="s">
        <v>52</v>
      </c>
      <c r="D16" s="11" t="s">
        <v>53</v>
      </c>
      <c r="E16" s="11" t="s">
        <v>46</v>
      </c>
      <c r="F16" s="13" t="s">
        <v>54</v>
      </c>
      <c r="G16" s="13">
        <f>IFERROR(INDEX('Hoạt động, lịch'!$I$5:$I$26,MATCH($F16,'Hoạt động, lịch'!$B$5:$B$26,0)),"")</f>
        <v>3</v>
      </c>
      <c r="H16" s="13" t="str">
        <f>IFERROR(INDEX('Hoạt động, lịch'!$S$5:$S$26,MATCH($F16,'Hoạt động, lịch'!$B$5:$B$26,0)),"")</f>
        <v>Tuần 4–6</v>
      </c>
      <c r="I16" s="14" t="str">
        <f>IFERROR(INDEX('Hoạt động, lịch'!$R$5:$R$26,MATCH($F16,'Hoạt động, lịch'!$B$5:$B$26,0)),"")</f>
        <v>Critical</v>
      </c>
    </row>
    <row r="17" spans="2:9" ht="18" customHeight="1" x14ac:dyDescent="0.3">
      <c r="B17" s="6" t="s">
        <v>55</v>
      </c>
      <c r="C17" s="6" t="s">
        <v>56</v>
      </c>
      <c r="D17" s="7" t="s">
        <v>57</v>
      </c>
      <c r="E17" s="7" t="s">
        <v>58</v>
      </c>
      <c r="F17" s="8"/>
      <c r="G17" s="9"/>
      <c r="H17" s="9"/>
      <c r="I17" s="10"/>
    </row>
    <row r="18" spans="2:9" ht="18" customHeight="1" x14ac:dyDescent="0.3">
      <c r="B18" s="11" t="s">
        <v>59</v>
      </c>
      <c r="C18" s="12" t="s">
        <v>60</v>
      </c>
      <c r="D18" s="11" t="s">
        <v>61</v>
      </c>
      <c r="E18" s="11" t="s">
        <v>58</v>
      </c>
      <c r="F18" s="13" t="s">
        <v>62</v>
      </c>
      <c r="G18" s="13">
        <f>IFERROR(INDEX('Hoạt động, lịch'!$I$5:$I$26,MATCH($F18,'Hoạt động, lịch'!$B$5:$B$26,0)),"")</f>
        <v>2</v>
      </c>
      <c r="H18" s="13" t="str">
        <f>IFERROR(INDEX('Hoạt động, lịch'!$S$5:$S$26,MATCH($F18,'Hoạt động, lịch'!$B$5:$B$26,0)),"")</f>
        <v>Tuần 7–8</v>
      </c>
      <c r="I18" s="14" t="str">
        <f>IFERROR(INDEX('Hoạt động, lịch'!$R$5:$R$26,MATCH($F18,'Hoạt động, lịch'!$B$5:$B$26,0)),"")</f>
        <v>Critical</v>
      </c>
    </row>
    <row r="19" spans="2:9" ht="18" customHeight="1" x14ac:dyDescent="0.3">
      <c r="B19" s="11" t="s">
        <v>63</v>
      </c>
      <c r="C19" s="12" t="s">
        <v>64</v>
      </c>
      <c r="D19" s="11" t="s">
        <v>65</v>
      </c>
      <c r="E19" s="11" t="s">
        <v>58</v>
      </c>
      <c r="F19" s="13" t="s">
        <v>66</v>
      </c>
      <c r="G19" s="13">
        <f>IFERROR(INDEX('Hoạt động, lịch'!$I$5:$I$26,MATCH($F19,'Hoạt động, lịch'!$B$5:$B$26,0)),"")</f>
        <v>2</v>
      </c>
      <c r="H19" s="13" t="str">
        <f>IFERROR(INDEX('Hoạt động, lịch'!$S$5:$S$26,MATCH($F19,'Hoạt động, lịch'!$B$5:$B$26,0)),"")</f>
        <v>Tuần 7–8</v>
      </c>
      <c r="I19" s="14" t="str">
        <f>IFERROR(INDEX('Hoạt động, lịch'!$R$5:$R$26,MATCH($F19,'Hoạt động, lịch'!$B$5:$B$26,0)),"")</f>
        <v/>
      </c>
    </row>
    <row r="20" spans="2:9" ht="18" customHeight="1" x14ac:dyDescent="0.3">
      <c r="B20" s="6" t="s">
        <v>67</v>
      </c>
      <c r="C20" s="6" t="s">
        <v>68</v>
      </c>
      <c r="D20" s="7" t="s">
        <v>69</v>
      </c>
      <c r="E20" s="7" t="s">
        <v>58</v>
      </c>
      <c r="F20" s="8"/>
      <c r="G20" s="9"/>
      <c r="H20" s="9"/>
      <c r="I20" s="10"/>
    </row>
    <row r="21" spans="2:9" ht="18" customHeight="1" x14ac:dyDescent="0.3">
      <c r="B21" s="11" t="s">
        <v>70</v>
      </c>
      <c r="C21" s="12" t="s">
        <v>71</v>
      </c>
      <c r="D21" s="11" t="s">
        <v>72</v>
      </c>
      <c r="E21" s="11" t="s">
        <v>58</v>
      </c>
      <c r="F21" s="13" t="s">
        <v>73</v>
      </c>
      <c r="G21" s="13">
        <f>IFERROR(INDEX('Hoạt động, lịch'!$I$5:$I$26,MATCH($F21,'Hoạt động, lịch'!$B$5:$B$26,0)),"")</f>
        <v>6</v>
      </c>
      <c r="H21" s="13" t="str">
        <f>IFERROR(INDEX('Hoạt động, lịch'!$S$5:$S$26,MATCH($F21,'Hoạt động, lịch'!$B$5:$B$26,0)),"")</f>
        <v>Tuần 9–14</v>
      </c>
      <c r="I21" s="14" t="str">
        <f>IFERROR(INDEX('Hoạt động, lịch'!$R$5:$R$26,MATCH($F21,'Hoạt động, lịch'!$B$5:$B$26,0)),"")</f>
        <v>Critical</v>
      </c>
    </row>
    <row r="22" spans="2:9" ht="18" customHeight="1" x14ac:dyDescent="0.3">
      <c r="B22" s="11" t="s">
        <v>74</v>
      </c>
      <c r="C22" s="12" t="s">
        <v>75</v>
      </c>
      <c r="D22" s="11" t="s">
        <v>76</v>
      </c>
      <c r="E22" s="11" t="s">
        <v>58</v>
      </c>
      <c r="F22" s="13"/>
      <c r="G22" s="13"/>
      <c r="H22" s="13"/>
      <c r="I22" s="14"/>
    </row>
    <row r="23" spans="2:9" ht="18" customHeight="1" x14ac:dyDescent="0.3">
      <c r="B23" s="11" t="s">
        <v>77</v>
      </c>
      <c r="C23" s="15" t="s">
        <v>78</v>
      </c>
      <c r="D23" s="11" t="s">
        <v>79</v>
      </c>
      <c r="E23" s="11" t="s">
        <v>58</v>
      </c>
      <c r="F23" s="13" t="s">
        <v>80</v>
      </c>
      <c r="G23" s="13">
        <f>IFERROR(INDEX('Hoạt động, lịch'!$I$5:$I$26,MATCH($F23,'Hoạt động, lịch'!$B$5:$B$26,0)),"")</f>
        <v>5</v>
      </c>
      <c r="H23" s="13" t="str">
        <f>IFERROR(INDEX('Hoạt động, lịch'!$S$5:$S$26,MATCH($F23,'Hoạt động, lịch'!$B$5:$B$26,0)),"")</f>
        <v>Tuần 9–13</v>
      </c>
      <c r="I23" s="14" t="str">
        <f>IFERROR(INDEX('Hoạt động, lịch'!$R$5:$R$26,MATCH($F23,'Hoạt động, lịch'!$B$5:$B$26,0)),"")</f>
        <v/>
      </c>
    </row>
    <row r="24" spans="2:9" ht="18" customHeight="1" x14ac:dyDescent="0.3">
      <c r="B24" s="11" t="s">
        <v>81</v>
      </c>
      <c r="C24" s="15" t="s">
        <v>82</v>
      </c>
      <c r="D24" s="11" t="s">
        <v>83</v>
      </c>
      <c r="E24" s="11" t="s">
        <v>58</v>
      </c>
      <c r="F24" s="13" t="s">
        <v>84</v>
      </c>
      <c r="G24" s="13">
        <f>IFERROR(INDEX('Hoạt động, lịch'!$I$5:$I$26,MATCH($F24,'Hoạt động, lịch'!$B$5:$B$26,0)),"")</f>
        <v>4</v>
      </c>
      <c r="H24" s="13" t="str">
        <f>IFERROR(INDEX('Hoạt động, lịch'!$S$5:$S$26,MATCH($F24,'Hoạt động, lịch'!$B$5:$B$26,0)),"")</f>
        <v>Tuần 9–12</v>
      </c>
      <c r="I24" s="14" t="str">
        <f>IFERROR(INDEX('Hoạt động, lịch'!$R$5:$R$26,MATCH($F24,'Hoạt động, lịch'!$B$5:$B$26,0)),"")</f>
        <v/>
      </c>
    </row>
    <row r="25" spans="2:9" ht="18" customHeight="1" x14ac:dyDescent="0.3">
      <c r="B25" s="6" t="s">
        <v>85</v>
      </c>
      <c r="C25" s="6" t="s">
        <v>86</v>
      </c>
      <c r="D25" s="7" t="s">
        <v>87</v>
      </c>
      <c r="E25" s="7" t="s">
        <v>31</v>
      </c>
      <c r="F25" s="8"/>
      <c r="G25" s="9"/>
      <c r="H25" s="9"/>
      <c r="I25" s="10"/>
    </row>
    <row r="26" spans="2:9" ht="18" customHeight="1" x14ac:dyDescent="0.3">
      <c r="B26" s="11" t="s">
        <v>88</v>
      </c>
      <c r="C26" s="12" t="s">
        <v>89</v>
      </c>
      <c r="D26" s="11" t="s">
        <v>90</v>
      </c>
      <c r="E26" s="11" t="s">
        <v>31</v>
      </c>
      <c r="F26" s="13" t="s">
        <v>91</v>
      </c>
      <c r="G26" s="13">
        <f>IFERROR(INDEX('Hoạt động, lịch'!$I$5:$I$26,MATCH($F26,'Hoạt động, lịch'!$B$5:$B$26,0)),"")</f>
        <v>4</v>
      </c>
      <c r="H26" s="13" t="str">
        <f>IFERROR(INDEX('Hoạt động, lịch'!$S$5:$S$26,MATCH($F26,'Hoạt động, lịch'!$B$5:$B$26,0)),"")</f>
        <v>Tuần 9–12</v>
      </c>
      <c r="I26" s="14" t="str">
        <f>IFERROR(INDEX('Hoạt động, lịch'!$R$5:$R$26,MATCH($F26,'Hoạt động, lịch'!$B$5:$B$26,0)),"")</f>
        <v/>
      </c>
    </row>
    <row r="27" spans="2:9" ht="18" customHeight="1" x14ac:dyDescent="0.3">
      <c r="B27" s="11" t="s">
        <v>92</v>
      </c>
      <c r="C27" s="12" t="s">
        <v>93</v>
      </c>
      <c r="D27" s="11" t="s">
        <v>94</v>
      </c>
      <c r="E27" s="11" t="s">
        <v>31</v>
      </c>
      <c r="F27" s="13" t="s">
        <v>95</v>
      </c>
      <c r="G27" s="13">
        <f>IFERROR(INDEX('Hoạt động, lịch'!$I$5:$I$26,MATCH($F27,'Hoạt động, lịch'!$B$5:$B$26,0)),"")</f>
        <v>5</v>
      </c>
      <c r="H27" s="13" t="str">
        <f>IFERROR(INDEX('Hoạt động, lịch'!$S$5:$S$26,MATCH($F27,'Hoạt động, lịch'!$B$5:$B$26,0)),"")</f>
        <v>Tuần 13–17</v>
      </c>
      <c r="I27" s="14" t="str">
        <f>IFERROR(INDEX('Hoạt động, lịch'!$R$5:$R$26,MATCH($F27,'Hoạt động, lịch'!$B$5:$B$26,0)),"")</f>
        <v/>
      </c>
    </row>
    <row r="28" spans="2:9" ht="18" customHeight="1" x14ac:dyDescent="0.3">
      <c r="B28" s="6" t="s">
        <v>96</v>
      </c>
      <c r="C28" s="6" t="s">
        <v>97</v>
      </c>
      <c r="D28" s="7" t="s">
        <v>98</v>
      </c>
      <c r="E28" s="7" t="s">
        <v>46</v>
      </c>
      <c r="F28" s="8"/>
      <c r="G28" s="9"/>
      <c r="H28" s="9"/>
      <c r="I28" s="10"/>
    </row>
    <row r="29" spans="2:9" ht="18" customHeight="1" x14ac:dyDescent="0.3">
      <c r="B29" s="11" t="s">
        <v>99</v>
      </c>
      <c r="C29" s="12" t="s">
        <v>100</v>
      </c>
      <c r="D29" s="11" t="s">
        <v>101</v>
      </c>
      <c r="E29" s="11" t="s">
        <v>46</v>
      </c>
      <c r="F29" s="13" t="s">
        <v>102</v>
      </c>
      <c r="G29" s="13">
        <f>IFERROR(INDEX('Hoạt động, lịch'!$I$5:$I$26,MATCH($F29,'Hoạt động, lịch'!$B$5:$B$26,0)),"")</f>
        <v>4</v>
      </c>
      <c r="H29" s="13" t="str">
        <f>IFERROR(INDEX('Hoạt động, lịch'!$S$5:$S$26,MATCH($F29,'Hoạt động, lịch'!$B$5:$B$26,0)),"")</f>
        <v>Tuần 9–12</v>
      </c>
      <c r="I29" s="14" t="str">
        <f>IFERROR(INDEX('Hoạt động, lịch'!$R$5:$R$26,MATCH($F29,'Hoạt động, lịch'!$B$5:$B$26,0)),"")</f>
        <v/>
      </c>
    </row>
    <row r="30" spans="2:9" ht="18" customHeight="1" x14ac:dyDescent="0.3">
      <c r="B30" s="11" t="s">
        <v>103</v>
      </c>
      <c r="C30" s="12" t="s">
        <v>104</v>
      </c>
      <c r="D30" s="11" t="s">
        <v>105</v>
      </c>
      <c r="E30" s="11" t="s">
        <v>42</v>
      </c>
      <c r="F30" s="13" t="s">
        <v>106</v>
      </c>
      <c r="G30" s="13">
        <f>IFERROR(INDEX('Hoạt động, lịch'!$I$5:$I$26,MATCH($F30,'Hoạt động, lịch'!$B$5:$B$26,0)),"")</f>
        <v>3</v>
      </c>
      <c r="H30" s="13" t="str">
        <f>IFERROR(INDEX('Hoạt động, lịch'!$S$5:$S$26,MATCH($F30,'Hoạt động, lịch'!$B$5:$B$26,0)),"")</f>
        <v>Tuần 13–15</v>
      </c>
      <c r="I30" s="14" t="str">
        <f>IFERROR(INDEX('Hoạt động, lịch'!$R$5:$R$26,MATCH($F30,'Hoạt động, lịch'!$B$5:$B$26,0)),"")</f>
        <v/>
      </c>
    </row>
    <row r="31" spans="2:9" ht="18" customHeight="1" x14ac:dyDescent="0.3">
      <c r="B31" s="6" t="s">
        <v>107</v>
      </c>
      <c r="C31" s="6" t="s">
        <v>108</v>
      </c>
      <c r="D31" s="7" t="s">
        <v>109</v>
      </c>
      <c r="E31" s="7" t="s">
        <v>42</v>
      </c>
      <c r="F31" s="8"/>
      <c r="G31" s="9"/>
      <c r="H31" s="9"/>
      <c r="I31" s="10"/>
    </row>
    <row r="32" spans="2:9" ht="18" customHeight="1" x14ac:dyDescent="0.3">
      <c r="B32" s="11" t="s">
        <v>110</v>
      </c>
      <c r="C32" s="12" t="s">
        <v>111</v>
      </c>
      <c r="D32" s="11" t="s">
        <v>112</v>
      </c>
      <c r="E32" s="11" t="s">
        <v>58</v>
      </c>
      <c r="F32" s="13" t="s">
        <v>113</v>
      </c>
      <c r="G32" s="13">
        <f>IFERROR(INDEX('Hoạt động, lịch'!$I$5:$I$26,MATCH($F32,'Hoạt động, lịch'!$B$5:$B$26,0)),"")</f>
        <v>1</v>
      </c>
      <c r="H32" s="13" t="str">
        <f>IFERROR(INDEX('Hoạt động, lịch'!$S$5:$S$26,MATCH($F32,'Hoạt động, lịch'!$B$5:$B$26,0)),"")</f>
        <v>Tuần 15</v>
      </c>
      <c r="I32" s="14" t="str">
        <f>IFERROR(INDEX('Hoạt động, lịch'!$R$5:$R$26,MATCH($F32,'Hoạt động, lịch'!$B$5:$B$26,0)),"")</f>
        <v>Critical</v>
      </c>
    </row>
    <row r="33" spans="2:9" ht="18" customHeight="1" x14ac:dyDescent="0.3">
      <c r="B33" s="11" t="s">
        <v>114</v>
      </c>
      <c r="C33" s="12" t="s">
        <v>115</v>
      </c>
      <c r="D33" s="11" t="s">
        <v>116</v>
      </c>
      <c r="E33" s="11" t="s">
        <v>42</v>
      </c>
      <c r="F33" s="13" t="s">
        <v>117</v>
      </c>
      <c r="G33" s="13">
        <f>IFERROR(INDEX('Hoạt động, lịch'!$I$5:$I$26,MATCH($F33,'Hoạt động, lịch'!$B$5:$B$26,0)),"")</f>
        <v>1</v>
      </c>
      <c r="H33" s="13" t="str">
        <f>IFERROR(INDEX('Hoạt động, lịch'!$S$5:$S$26,MATCH($F33,'Hoạt động, lịch'!$B$5:$B$26,0)),"")</f>
        <v>Tuần 16</v>
      </c>
      <c r="I33" s="14" t="str">
        <f>IFERROR(INDEX('Hoạt động, lịch'!$R$5:$R$26,MATCH($F33,'Hoạt động, lịch'!$B$5:$B$26,0)),"")</f>
        <v>Critical</v>
      </c>
    </row>
    <row r="34" spans="2:9" ht="18" customHeight="1" x14ac:dyDescent="0.3">
      <c r="B34" s="6" t="s">
        <v>118</v>
      </c>
      <c r="C34" s="6" t="s">
        <v>119</v>
      </c>
      <c r="D34" s="7" t="s">
        <v>120</v>
      </c>
      <c r="E34" s="7" t="s">
        <v>58</v>
      </c>
      <c r="F34" s="8"/>
      <c r="G34" s="9"/>
      <c r="H34" s="9"/>
      <c r="I34" s="10"/>
    </row>
    <row r="35" spans="2:9" ht="18" customHeight="1" x14ac:dyDescent="0.3">
      <c r="B35" s="11" t="s">
        <v>121</v>
      </c>
      <c r="C35" s="12" t="s">
        <v>122</v>
      </c>
      <c r="D35" s="11" t="s">
        <v>123</v>
      </c>
      <c r="E35" s="11" t="s">
        <v>58</v>
      </c>
      <c r="F35" s="13" t="s">
        <v>124</v>
      </c>
      <c r="G35" s="13">
        <f>IFERROR(INDEX('Hoạt động, lịch'!$I$5:$I$26,MATCH($F35,'Hoạt động, lịch'!$B$5:$B$26,0)),"")</f>
        <v>3</v>
      </c>
      <c r="H35" s="13" t="str">
        <f>IFERROR(INDEX('Hoạt động, lịch'!$S$5:$S$26,MATCH($F35,'Hoạt động, lịch'!$B$5:$B$26,0)),"")</f>
        <v>Tuần 12–14</v>
      </c>
      <c r="I35" s="14" t="str">
        <f>IFERROR(INDEX('Hoạt động, lịch'!$R$5:$R$26,MATCH($F35,'Hoạt động, lịch'!$B$5:$B$26,0)),"")</f>
        <v/>
      </c>
    </row>
    <row r="36" spans="2:9" ht="18" customHeight="1" x14ac:dyDescent="0.3">
      <c r="B36" s="11" t="s">
        <v>125</v>
      </c>
      <c r="C36" s="12" t="s">
        <v>126</v>
      </c>
      <c r="D36" s="11" t="s">
        <v>127</v>
      </c>
      <c r="E36" s="11" t="s">
        <v>38</v>
      </c>
      <c r="F36" s="13" t="s">
        <v>128</v>
      </c>
      <c r="G36" s="13">
        <f>IFERROR(INDEX('Hoạt động, lịch'!$I$5:$I$26,MATCH($F36,'Hoạt động, lịch'!$B$5:$B$26,0)),"")</f>
        <v>6</v>
      </c>
      <c r="H36" s="13" t="str">
        <f>IFERROR(INDEX('Hoạt động, lịch'!$S$5:$S$26,MATCH($F36,'Hoạt động, lịch'!$B$5:$B$26,0)),"")</f>
        <v>Tuần 15–20</v>
      </c>
      <c r="I36" s="14" t="str">
        <f>IFERROR(INDEX('Hoạt động, lịch'!$R$5:$R$26,MATCH($F36,'Hoạt động, lịch'!$B$5:$B$26,0)),"")</f>
        <v/>
      </c>
    </row>
    <row r="37" spans="2:9" ht="18" customHeight="1" x14ac:dyDescent="0.3">
      <c r="B37" s="6" t="s">
        <v>129</v>
      </c>
      <c r="C37" s="6" t="s">
        <v>130</v>
      </c>
      <c r="D37" s="7" t="s">
        <v>131</v>
      </c>
      <c r="E37" s="7" t="s">
        <v>38</v>
      </c>
      <c r="F37" s="8"/>
      <c r="G37" s="9"/>
      <c r="H37" s="9"/>
      <c r="I37" s="10"/>
    </row>
    <row r="38" spans="2:9" ht="18" customHeight="1" x14ac:dyDescent="0.3">
      <c r="B38" s="11" t="s">
        <v>132</v>
      </c>
      <c r="C38" s="12" t="s">
        <v>133</v>
      </c>
      <c r="D38" s="11" t="s">
        <v>134</v>
      </c>
      <c r="E38" s="11" t="s">
        <v>38</v>
      </c>
      <c r="F38" s="13"/>
      <c r="G38" s="13"/>
      <c r="H38" s="13"/>
      <c r="I38" s="14"/>
    </row>
    <row r="39" spans="2:9" ht="18" customHeight="1" x14ac:dyDescent="0.3">
      <c r="B39" s="11" t="s">
        <v>135</v>
      </c>
      <c r="C39" s="15" t="s">
        <v>136</v>
      </c>
      <c r="D39" s="11" t="s">
        <v>137</v>
      </c>
      <c r="E39" s="11" t="s">
        <v>38</v>
      </c>
      <c r="F39" s="13" t="s">
        <v>138</v>
      </c>
      <c r="G39" s="13">
        <f>IFERROR(INDEX('Hoạt động, lịch'!$I$5:$I$26,MATCH($F39,'Hoạt động, lịch'!$B$5:$B$26,0)),"")</f>
        <v>2</v>
      </c>
      <c r="H39" s="13" t="str">
        <f>IFERROR(INDEX('Hoạt động, lịch'!$S$5:$S$26,MATCH($F39,'Hoạt động, lịch'!$B$5:$B$26,0)),"")</f>
        <v>Tuần 17–18</v>
      </c>
      <c r="I39" s="14" t="str">
        <f>IFERROR(INDEX('Hoạt động, lịch'!$R$5:$R$26,MATCH($F39,'Hoạt động, lịch'!$B$5:$B$26,0)),"")</f>
        <v>Critical</v>
      </c>
    </row>
    <row r="40" spans="2:9" ht="18" customHeight="1" x14ac:dyDescent="0.3">
      <c r="B40" s="11" t="s">
        <v>139</v>
      </c>
      <c r="C40" s="15" t="s">
        <v>140</v>
      </c>
      <c r="D40" s="11" t="s">
        <v>141</v>
      </c>
      <c r="E40" s="11" t="s">
        <v>38</v>
      </c>
      <c r="F40" s="13" t="s">
        <v>142</v>
      </c>
      <c r="G40" s="13">
        <f>IFERROR(INDEX('Hoạt động, lịch'!$I$5:$I$26,MATCH($F40,'Hoạt động, lịch'!$B$5:$B$26,0)),"")</f>
        <v>4</v>
      </c>
      <c r="H40" s="13" t="str">
        <f>IFERROR(INDEX('Hoạt động, lịch'!$S$5:$S$26,MATCH($F40,'Hoạt động, lịch'!$B$5:$B$26,0)),"")</f>
        <v>Tuần 19–22</v>
      </c>
      <c r="I40" s="14" t="str">
        <f>IFERROR(INDEX('Hoạt động, lịch'!$R$5:$R$26,MATCH($F40,'Hoạt động, lịch'!$B$5:$B$26,0)),"")</f>
        <v>Critical</v>
      </c>
    </row>
    <row r="41" spans="2:9" ht="18" customHeight="1" x14ac:dyDescent="0.3">
      <c r="B41" s="11" t="s">
        <v>143</v>
      </c>
      <c r="C41" s="12" t="s">
        <v>144</v>
      </c>
      <c r="D41" s="11" t="s">
        <v>145</v>
      </c>
      <c r="E41" s="11" t="s">
        <v>58</v>
      </c>
      <c r="F41" s="13" t="s">
        <v>146</v>
      </c>
      <c r="G41" s="13">
        <f>IFERROR(INDEX('Hoạt động, lịch'!$I$5:$I$26,MATCH($F41,'Hoạt động, lịch'!$B$5:$B$26,0)),"")</f>
        <v>3</v>
      </c>
      <c r="H41" s="13" t="str">
        <f>IFERROR(INDEX('Hoạt động, lịch'!$S$5:$S$26,MATCH($F41,'Hoạt động, lịch'!$B$5:$B$26,0)),"")</f>
        <v>Tuần 23–25</v>
      </c>
      <c r="I41" s="14" t="str">
        <f>IFERROR(INDEX('Hoạt động, lịch'!$R$5:$R$26,MATCH($F41,'Hoạt động, lịch'!$B$5:$B$26,0)),"")</f>
        <v>Critical</v>
      </c>
    </row>
    <row r="42" spans="2:9" ht="18" customHeight="1" x14ac:dyDescent="0.3">
      <c r="B42" s="6" t="s">
        <v>147</v>
      </c>
      <c r="C42" s="6" t="s">
        <v>148</v>
      </c>
      <c r="D42" s="7" t="s">
        <v>149</v>
      </c>
      <c r="E42" s="7" t="s">
        <v>17</v>
      </c>
      <c r="F42" s="8"/>
      <c r="G42" s="9"/>
      <c r="H42" s="9"/>
      <c r="I42" s="10"/>
    </row>
    <row r="43" spans="2:9" ht="18" customHeight="1" x14ac:dyDescent="0.3">
      <c r="B43" s="11" t="s">
        <v>150</v>
      </c>
      <c r="C43" s="12" t="s">
        <v>151</v>
      </c>
      <c r="D43" s="11" t="s">
        <v>152</v>
      </c>
      <c r="E43" s="11" t="s">
        <v>17</v>
      </c>
      <c r="F43" s="13" t="s">
        <v>153</v>
      </c>
      <c r="G43" s="13">
        <f>IFERROR(INDEX('Hoạt động, lịch'!$I$5:$I$26,MATCH($F43,'Hoạt động, lịch'!$B$5:$B$26,0)),"")</f>
        <v>1</v>
      </c>
      <c r="H43" s="13" t="str">
        <f>IFERROR(INDEX('Hoạt động, lịch'!$S$5:$S$26,MATCH($F43,'Hoạt động, lịch'!$B$5:$B$26,0)),"")</f>
        <v>Tuần 26</v>
      </c>
      <c r="I43" s="14" t="str">
        <f>IFERROR(INDEX('Hoạt động, lịch'!$R$5:$R$26,MATCH($F43,'Hoạt động, lịch'!$B$5:$B$26,0)),"")</f>
        <v>Critical</v>
      </c>
    </row>
    <row r="44" spans="2:9" ht="18" customHeight="1" x14ac:dyDescent="0.3">
      <c r="B44" s="11" t="s">
        <v>154</v>
      </c>
      <c r="C44" s="12" t="s">
        <v>155</v>
      </c>
      <c r="D44" s="11" t="s">
        <v>156</v>
      </c>
      <c r="E44" s="11" t="s">
        <v>31</v>
      </c>
      <c r="F44" s="13" t="s">
        <v>157</v>
      </c>
      <c r="G44" s="13">
        <f>IFERROR(INDEX('Hoạt động, lịch'!$I$5:$I$26,MATCH($F44,'Hoạt động, lịch'!$B$5:$B$26,0)),"")</f>
        <v>1</v>
      </c>
      <c r="H44" s="13" t="str">
        <f>IFERROR(INDEX('Hoạt động, lịch'!$S$5:$S$26,MATCH($F44,'Hoạt động, lịch'!$B$5:$B$26,0)),"")</f>
        <v>Tuần 26</v>
      </c>
      <c r="I44" s="14" t="str">
        <f>IFERROR(INDEX('Hoạt động, lịch'!$R$5:$R$26,MATCH($F44,'Hoạt động, lịch'!$B$5:$B$26,0)),"")</f>
        <v>Critical</v>
      </c>
    </row>
  </sheetData>
  <mergeCells count="8">
    <mergeCell ref="I3:I4"/>
    <mergeCell ref="C3:C4"/>
    <mergeCell ref="B3:B4"/>
    <mergeCell ref="G3:G4"/>
    <mergeCell ref="E3:E4"/>
    <mergeCell ref="H3:H4"/>
    <mergeCell ref="F3:F4"/>
    <mergeCell ref="D3:D4"/>
  </mergeCells>
  <printOptions horizontalCentered="1"/>
  <pageMargins left="0.45" right="0.45" top="0.5" bottom="0.5" header="0.3" footer="0.3"/>
  <pageSetup paperSize="9" fitToHeight="0" orientation="portrait"/>
  <headerFooter>
    <oddFooter>&amp;CTrang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A1:U36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.6640625" style="3" customWidth="1"/>
    <col min="2" max="2" width="7" style="3" customWidth="1"/>
    <col min="3" max="3" width="35" style="3" customWidth="1"/>
    <col min="4" max="4" width="7" style="3" customWidth="1"/>
    <col min="5" max="5" width="19" style="3" customWidth="1"/>
    <col min="6" max="8" width="5.44140625" style="3" customWidth="1"/>
    <col min="9" max="9" width="8" style="3" customWidth="1"/>
    <col min="10" max="10" width="7" style="3" customWidth="1"/>
    <col min="11" max="11" width="13" style="3" customWidth="1"/>
    <col min="12" max="15" width="6" style="3" customWidth="1"/>
    <col min="16" max="17" width="8" style="3" customWidth="1"/>
    <col min="18" max="18" width="10" style="3" customWidth="1"/>
    <col min="19" max="19" width="13" style="3" customWidth="1"/>
    <col min="20" max="21" width="12.44140625" style="3" customWidth="1"/>
  </cols>
  <sheetData>
    <row r="1" spans="2:21" ht="42" customHeight="1" x14ac:dyDescent="0.3">
      <c r="B1" s="4" t="s">
        <v>158</v>
      </c>
    </row>
    <row r="2" spans="2:21" ht="21" customHeight="1" x14ac:dyDescent="0.3">
      <c r="B2" s="5" t="s">
        <v>159</v>
      </c>
    </row>
    <row r="3" spans="2:21" ht="36" customHeight="1" x14ac:dyDescent="0.3">
      <c r="B3" s="90" t="s">
        <v>160</v>
      </c>
      <c r="C3" s="90" t="s">
        <v>161</v>
      </c>
      <c r="D3" s="90" t="s">
        <v>162</v>
      </c>
      <c r="E3" s="90" t="s">
        <v>163</v>
      </c>
      <c r="F3" s="90" t="s">
        <v>164</v>
      </c>
      <c r="G3" s="90" t="s">
        <v>165</v>
      </c>
      <c r="H3" s="90" t="s">
        <v>166</v>
      </c>
      <c r="I3" s="90" t="s">
        <v>167</v>
      </c>
      <c r="J3" s="90" t="s">
        <v>168</v>
      </c>
      <c r="K3" s="90" t="s">
        <v>5</v>
      </c>
      <c r="L3" s="90" t="s">
        <v>169</v>
      </c>
      <c r="M3" s="90" t="s">
        <v>170</v>
      </c>
      <c r="N3" s="90" t="s">
        <v>171</v>
      </c>
      <c r="O3" s="90" t="s">
        <v>172</v>
      </c>
      <c r="P3" s="90" t="s">
        <v>173</v>
      </c>
      <c r="Q3" s="90" t="s">
        <v>174</v>
      </c>
      <c r="R3" s="90" t="s">
        <v>9</v>
      </c>
      <c r="S3" s="90" t="s">
        <v>8</v>
      </c>
      <c r="T3" s="90" t="s">
        <v>175</v>
      </c>
      <c r="U3" s="90" t="s">
        <v>176</v>
      </c>
    </row>
    <row r="4" spans="2:21" ht="12" customHeight="1" x14ac:dyDescent="0.3"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</row>
    <row r="5" spans="2:21" ht="19.95" customHeight="1" x14ac:dyDescent="0.3">
      <c r="B5" s="16" t="s">
        <v>177</v>
      </c>
      <c r="C5" s="17" t="s">
        <v>178</v>
      </c>
      <c r="D5" s="18" t="s">
        <v>179</v>
      </c>
      <c r="E5" s="17" t="s">
        <v>179</v>
      </c>
      <c r="F5" s="18"/>
      <c r="G5" s="18"/>
      <c r="H5" s="18"/>
      <c r="I5" s="18">
        <v>0</v>
      </c>
      <c r="J5" s="19">
        <f t="shared" ref="J5:J26" si="0">IF(COUNT(F5:H5)=3,((H5-F5)/6)^2,0)</f>
        <v>0</v>
      </c>
      <c r="K5" s="17" t="s">
        <v>179</v>
      </c>
      <c r="L5" s="18">
        <f>0</f>
        <v>0</v>
      </c>
      <c r="M5" s="18">
        <f t="shared" ref="M5:M26" si="1">L5+I5</f>
        <v>0</v>
      </c>
      <c r="N5" s="18">
        <f t="shared" ref="N5:N26" si="2">O5-I5</f>
        <v>0</v>
      </c>
      <c r="O5" s="18">
        <f>MIN($D$29,N6)</f>
        <v>0</v>
      </c>
      <c r="P5" s="18">
        <f t="shared" ref="P5:P26" si="3">N5-L5</f>
        <v>0</v>
      </c>
      <c r="Q5" s="18">
        <f>MIN($D$29-M5,L6-M5)</f>
        <v>0</v>
      </c>
      <c r="R5" s="18" t="str">
        <f t="shared" ref="R5:R26" si="4">IF(ABS(P5)&lt;0.0001,"Critical","")</f>
        <v>Critical</v>
      </c>
      <c r="S5" s="18" t="str">
        <f t="shared" ref="S5:S26" si="5">IF(I5=0,IF(L5=0,"Đầu tuần 1","Cuối tuần "&amp;M5),"Tuần "&amp;(L5+1)&amp;IF(I5&gt;1,"–"&amp;M5,""))</f>
        <v>Đầu tuần 1</v>
      </c>
      <c r="T5" s="20">
        <f t="shared" ref="T5:T26" si="6">IF(AND(I5=0,L5&gt;0),U5,$D$28+L5*7)</f>
        <v>46447</v>
      </c>
      <c r="U5" s="20">
        <f t="shared" ref="U5:U26" si="7">IF(I5=0,IF(M5=0,$D$28,$D$28+(M5-1)*7+4),$D$28+(M5-1)*7+4)</f>
        <v>46447</v>
      </c>
    </row>
    <row r="6" spans="2:21" ht="19.95" customHeight="1" x14ac:dyDescent="0.3">
      <c r="B6" s="16" t="s">
        <v>50</v>
      </c>
      <c r="C6" s="17" t="s">
        <v>48</v>
      </c>
      <c r="D6" s="18" t="s">
        <v>47</v>
      </c>
      <c r="E6" s="17" t="s">
        <v>177</v>
      </c>
      <c r="F6" s="18"/>
      <c r="G6" s="18"/>
      <c r="H6" s="18"/>
      <c r="I6" s="18">
        <v>3</v>
      </c>
      <c r="J6" s="19">
        <f t="shared" si="0"/>
        <v>0</v>
      </c>
      <c r="K6" s="17" t="s">
        <v>46</v>
      </c>
      <c r="L6" s="18">
        <f>MAX(0,M5)</f>
        <v>0</v>
      </c>
      <c r="M6" s="18">
        <f t="shared" si="1"/>
        <v>3</v>
      </c>
      <c r="N6" s="18">
        <f t="shared" si="2"/>
        <v>0</v>
      </c>
      <c r="O6" s="18">
        <f>MIN($D$29,N7)</f>
        <v>3</v>
      </c>
      <c r="P6" s="18">
        <f t="shared" si="3"/>
        <v>0</v>
      </c>
      <c r="Q6" s="18">
        <f>MIN($D$29-M6,L7-M6)</f>
        <v>0</v>
      </c>
      <c r="R6" s="18" t="str">
        <f t="shared" si="4"/>
        <v>Critical</v>
      </c>
      <c r="S6" s="18" t="str">
        <f t="shared" si="5"/>
        <v>Tuần 1–3</v>
      </c>
      <c r="T6" s="20">
        <f t="shared" si="6"/>
        <v>46447</v>
      </c>
      <c r="U6" s="20">
        <f t="shared" si="7"/>
        <v>46465</v>
      </c>
    </row>
    <row r="7" spans="2:21" ht="19.95" customHeight="1" x14ac:dyDescent="0.3">
      <c r="B7" s="16" t="s">
        <v>54</v>
      </c>
      <c r="C7" s="17" t="s">
        <v>52</v>
      </c>
      <c r="D7" s="18" t="s">
        <v>51</v>
      </c>
      <c r="E7" s="17" t="s">
        <v>50</v>
      </c>
      <c r="F7" s="18"/>
      <c r="G7" s="18"/>
      <c r="H7" s="18"/>
      <c r="I7" s="18">
        <v>3</v>
      </c>
      <c r="J7" s="19">
        <f t="shared" si="0"/>
        <v>0</v>
      </c>
      <c r="K7" s="17" t="s">
        <v>46</v>
      </c>
      <c r="L7" s="18">
        <f>MAX(0,M6)</f>
        <v>3</v>
      </c>
      <c r="M7" s="18">
        <f t="shared" si="1"/>
        <v>6</v>
      </c>
      <c r="N7" s="18">
        <f t="shared" si="2"/>
        <v>3</v>
      </c>
      <c r="O7" s="18">
        <f>MIN($D$29,N8,N9)</f>
        <v>6</v>
      </c>
      <c r="P7" s="18">
        <f t="shared" si="3"/>
        <v>0</v>
      </c>
      <c r="Q7" s="18">
        <f>MIN($D$29-M7,L8-M7,L9-M7)</f>
        <v>0</v>
      </c>
      <c r="R7" s="18" t="str">
        <f t="shared" si="4"/>
        <v>Critical</v>
      </c>
      <c r="S7" s="18" t="str">
        <f t="shared" si="5"/>
        <v>Tuần 4–6</v>
      </c>
      <c r="T7" s="20">
        <f t="shared" si="6"/>
        <v>46468</v>
      </c>
      <c r="U7" s="20">
        <f t="shared" si="7"/>
        <v>46486</v>
      </c>
    </row>
    <row r="8" spans="2:21" ht="19.95" customHeight="1" x14ac:dyDescent="0.3">
      <c r="B8" s="16" t="s">
        <v>62</v>
      </c>
      <c r="C8" s="17" t="s">
        <v>180</v>
      </c>
      <c r="D8" s="18" t="s">
        <v>59</v>
      </c>
      <c r="E8" s="17" t="s">
        <v>54</v>
      </c>
      <c r="F8" s="18"/>
      <c r="G8" s="18"/>
      <c r="H8" s="18"/>
      <c r="I8" s="18">
        <v>2</v>
      </c>
      <c r="J8" s="19">
        <f t="shared" si="0"/>
        <v>0</v>
      </c>
      <c r="K8" s="17" t="s">
        <v>58</v>
      </c>
      <c r="L8" s="18">
        <f>MAX(0,M7)</f>
        <v>6</v>
      </c>
      <c r="M8" s="18">
        <f t="shared" si="1"/>
        <v>8</v>
      </c>
      <c r="N8" s="18">
        <f t="shared" si="2"/>
        <v>6</v>
      </c>
      <c r="O8" s="18">
        <f>MIN($D$29,N10,N13,N15)</f>
        <v>8</v>
      </c>
      <c r="P8" s="18">
        <f t="shared" si="3"/>
        <v>0</v>
      </c>
      <c r="Q8" s="18">
        <f>MIN($D$29-M8,L10-M8,L13-M8,L15-M8)</f>
        <v>0</v>
      </c>
      <c r="R8" s="18" t="str">
        <f t="shared" si="4"/>
        <v>Critical</v>
      </c>
      <c r="S8" s="18" t="str">
        <f t="shared" si="5"/>
        <v>Tuần 7–8</v>
      </c>
      <c r="T8" s="20">
        <f t="shared" si="6"/>
        <v>46489</v>
      </c>
      <c r="U8" s="20">
        <f t="shared" si="7"/>
        <v>46500</v>
      </c>
    </row>
    <row r="9" spans="2:21" ht="19.95" customHeight="1" x14ac:dyDescent="0.3">
      <c r="B9" s="16" t="s">
        <v>66</v>
      </c>
      <c r="C9" s="17" t="s">
        <v>64</v>
      </c>
      <c r="D9" s="18" t="s">
        <v>63</v>
      </c>
      <c r="E9" s="17" t="s">
        <v>54</v>
      </c>
      <c r="F9" s="18"/>
      <c r="G9" s="18"/>
      <c r="H9" s="18"/>
      <c r="I9" s="18">
        <v>2</v>
      </c>
      <c r="J9" s="19">
        <f t="shared" si="0"/>
        <v>0</v>
      </c>
      <c r="K9" s="17" t="s">
        <v>58</v>
      </c>
      <c r="L9" s="18">
        <f>MAX(0,M7)</f>
        <v>6</v>
      </c>
      <c r="M9" s="18">
        <f t="shared" si="1"/>
        <v>8</v>
      </c>
      <c r="N9" s="18">
        <f t="shared" si="2"/>
        <v>7</v>
      </c>
      <c r="O9" s="18">
        <f>MIN($D$29,N11,N12)</f>
        <v>9</v>
      </c>
      <c r="P9" s="18">
        <f t="shared" si="3"/>
        <v>1</v>
      </c>
      <c r="Q9" s="18">
        <f>MIN($D$29-M9,L11-M9,L12-M9)</f>
        <v>0</v>
      </c>
      <c r="R9" s="18" t="str">
        <f t="shared" si="4"/>
        <v/>
      </c>
      <c r="S9" s="18" t="str">
        <f t="shared" si="5"/>
        <v>Tuần 7–8</v>
      </c>
      <c r="T9" s="20">
        <f t="shared" si="6"/>
        <v>46489</v>
      </c>
      <c r="U9" s="20">
        <f t="shared" si="7"/>
        <v>46500</v>
      </c>
    </row>
    <row r="10" spans="2:21" ht="19.95" customHeight="1" x14ac:dyDescent="0.3">
      <c r="B10" s="16" t="s">
        <v>73</v>
      </c>
      <c r="C10" s="17" t="s">
        <v>181</v>
      </c>
      <c r="D10" s="18" t="s">
        <v>70</v>
      </c>
      <c r="E10" s="17" t="s">
        <v>62</v>
      </c>
      <c r="F10" s="18">
        <v>4</v>
      </c>
      <c r="G10" s="18">
        <v>6</v>
      </c>
      <c r="H10" s="18">
        <v>8</v>
      </c>
      <c r="I10" s="18">
        <f>(F10+4*G10+H10)/6</f>
        <v>6</v>
      </c>
      <c r="J10" s="19">
        <f t="shared" si="0"/>
        <v>0.44444444444444442</v>
      </c>
      <c r="K10" s="17" t="s">
        <v>58</v>
      </c>
      <c r="L10" s="18">
        <f>MAX(0,M8)</f>
        <v>8</v>
      </c>
      <c r="M10" s="18">
        <f t="shared" si="1"/>
        <v>14</v>
      </c>
      <c r="N10" s="18">
        <f t="shared" si="2"/>
        <v>8</v>
      </c>
      <c r="O10" s="18">
        <f>MIN($D$29,N17,N19-3+I10)</f>
        <v>14</v>
      </c>
      <c r="P10" s="18">
        <f t="shared" si="3"/>
        <v>0</v>
      </c>
      <c r="Q10" s="18">
        <f>MIN($D$29-M10,L17-M10,L19-3-L10)</f>
        <v>0</v>
      </c>
      <c r="R10" s="18" t="str">
        <f t="shared" si="4"/>
        <v>Critical</v>
      </c>
      <c r="S10" s="18" t="str">
        <f t="shared" si="5"/>
        <v>Tuần 9–14</v>
      </c>
      <c r="T10" s="20">
        <f t="shared" si="6"/>
        <v>46503</v>
      </c>
      <c r="U10" s="20">
        <f t="shared" si="7"/>
        <v>46542</v>
      </c>
    </row>
    <row r="11" spans="2:21" ht="19.95" customHeight="1" x14ac:dyDescent="0.3">
      <c r="B11" s="16" t="s">
        <v>80</v>
      </c>
      <c r="C11" s="17" t="s">
        <v>78</v>
      </c>
      <c r="D11" s="18" t="s">
        <v>77</v>
      </c>
      <c r="E11" s="17" t="s">
        <v>66</v>
      </c>
      <c r="F11" s="18">
        <v>3</v>
      </c>
      <c r="G11" s="18">
        <v>4</v>
      </c>
      <c r="H11" s="18">
        <v>11</v>
      </c>
      <c r="I11" s="18">
        <f>(F11+4*G11+H11)/6</f>
        <v>5</v>
      </c>
      <c r="J11" s="19">
        <f t="shared" si="0"/>
        <v>1.7777777777777777</v>
      </c>
      <c r="K11" s="17" t="s">
        <v>58</v>
      </c>
      <c r="L11" s="18">
        <f>MAX(0,M9)</f>
        <v>8</v>
      </c>
      <c r="M11" s="18">
        <f t="shared" si="1"/>
        <v>13</v>
      </c>
      <c r="N11" s="18">
        <f t="shared" si="2"/>
        <v>9</v>
      </c>
      <c r="O11" s="18">
        <f>MIN($D$29,N17)</f>
        <v>14</v>
      </c>
      <c r="P11" s="18">
        <f t="shared" si="3"/>
        <v>1</v>
      </c>
      <c r="Q11" s="18">
        <f>MIN($D$29-M11,L17-M11)</f>
        <v>1</v>
      </c>
      <c r="R11" s="18" t="str">
        <f t="shared" si="4"/>
        <v/>
      </c>
      <c r="S11" s="18" t="str">
        <f t="shared" si="5"/>
        <v>Tuần 9–13</v>
      </c>
      <c r="T11" s="20">
        <f t="shared" si="6"/>
        <v>46503</v>
      </c>
      <c r="U11" s="20">
        <f t="shared" si="7"/>
        <v>46535</v>
      </c>
    </row>
    <row r="12" spans="2:21" ht="19.95" customHeight="1" x14ac:dyDescent="0.3">
      <c r="B12" s="16" t="s">
        <v>84</v>
      </c>
      <c r="C12" s="17" t="s">
        <v>82</v>
      </c>
      <c r="D12" s="18" t="s">
        <v>81</v>
      </c>
      <c r="E12" s="17" t="s">
        <v>66</v>
      </c>
      <c r="F12" s="18"/>
      <c r="G12" s="18"/>
      <c r="H12" s="18"/>
      <c r="I12" s="18">
        <v>4</v>
      </c>
      <c r="J12" s="19">
        <f t="shared" si="0"/>
        <v>0</v>
      </c>
      <c r="K12" s="17" t="s">
        <v>58</v>
      </c>
      <c r="L12" s="18">
        <f>MAX(0,M9)</f>
        <v>8</v>
      </c>
      <c r="M12" s="18">
        <f t="shared" si="1"/>
        <v>12</v>
      </c>
      <c r="N12" s="18">
        <f t="shared" si="2"/>
        <v>10</v>
      </c>
      <c r="O12" s="18">
        <f>MIN($D$29,N17)</f>
        <v>14</v>
      </c>
      <c r="P12" s="18">
        <f t="shared" si="3"/>
        <v>2</v>
      </c>
      <c r="Q12" s="18">
        <f>MIN($D$29-M12,L17-M12)</f>
        <v>2</v>
      </c>
      <c r="R12" s="18" t="str">
        <f t="shared" si="4"/>
        <v/>
      </c>
      <c r="S12" s="18" t="str">
        <f t="shared" si="5"/>
        <v>Tuần 9–12</v>
      </c>
      <c r="T12" s="20">
        <f t="shared" si="6"/>
        <v>46503</v>
      </c>
      <c r="U12" s="20">
        <f t="shared" si="7"/>
        <v>46528</v>
      </c>
    </row>
    <row r="13" spans="2:21" ht="19.95" customHeight="1" x14ac:dyDescent="0.3">
      <c r="B13" s="16" t="s">
        <v>91</v>
      </c>
      <c r="C13" s="17" t="s">
        <v>89</v>
      </c>
      <c r="D13" s="18" t="s">
        <v>88</v>
      </c>
      <c r="E13" s="17" t="s">
        <v>62</v>
      </c>
      <c r="F13" s="18"/>
      <c r="G13" s="18"/>
      <c r="H13" s="18"/>
      <c r="I13" s="18">
        <v>4</v>
      </c>
      <c r="J13" s="19">
        <f t="shared" si="0"/>
        <v>0</v>
      </c>
      <c r="K13" s="17" t="s">
        <v>31</v>
      </c>
      <c r="L13" s="18">
        <f>MAX(0,M8)</f>
        <v>8</v>
      </c>
      <c r="M13" s="18">
        <f t="shared" si="1"/>
        <v>12</v>
      </c>
      <c r="N13" s="18">
        <f t="shared" si="2"/>
        <v>9</v>
      </c>
      <c r="O13" s="18">
        <f>MIN($D$29,N14,N17)</f>
        <v>13</v>
      </c>
      <c r="P13" s="18">
        <f t="shared" si="3"/>
        <v>1</v>
      </c>
      <c r="Q13" s="18">
        <f>MIN($D$29-M13,L14-M13,L17-M13)</f>
        <v>0</v>
      </c>
      <c r="R13" s="18" t="str">
        <f t="shared" si="4"/>
        <v/>
      </c>
      <c r="S13" s="18" t="str">
        <f t="shared" si="5"/>
        <v>Tuần 9–12</v>
      </c>
      <c r="T13" s="20">
        <f t="shared" si="6"/>
        <v>46503</v>
      </c>
      <c r="U13" s="20">
        <f t="shared" si="7"/>
        <v>46528</v>
      </c>
    </row>
    <row r="14" spans="2:21" ht="19.95" customHeight="1" x14ac:dyDescent="0.3">
      <c r="B14" s="16" t="s">
        <v>95</v>
      </c>
      <c r="C14" s="17" t="s">
        <v>93</v>
      </c>
      <c r="D14" s="18" t="s">
        <v>92</v>
      </c>
      <c r="E14" s="17" t="s">
        <v>91</v>
      </c>
      <c r="F14" s="18">
        <v>4</v>
      </c>
      <c r="G14" s="18">
        <v>4</v>
      </c>
      <c r="H14" s="18">
        <v>10</v>
      </c>
      <c r="I14" s="18">
        <f>(F14+4*G14+H14)/6</f>
        <v>5</v>
      </c>
      <c r="J14" s="19">
        <f t="shared" si="0"/>
        <v>1</v>
      </c>
      <c r="K14" s="17" t="s">
        <v>31</v>
      </c>
      <c r="L14" s="18">
        <f>MAX(0,M13)</f>
        <v>12</v>
      </c>
      <c r="M14" s="18">
        <f t="shared" si="1"/>
        <v>17</v>
      </c>
      <c r="N14" s="18">
        <f t="shared" si="2"/>
        <v>13</v>
      </c>
      <c r="O14" s="18">
        <f>MIN($D$29,N22)</f>
        <v>18</v>
      </c>
      <c r="P14" s="18">
        <f t="shared" si="3"/>
        <v>1</v>
      </c>
      <c r="Q14" s="18">
        <f>MIN($D$29-M14,L22-M14)</f>
        <v>1</v>
      </c>
      <c r="R14" s="18" t="str">
        <f t="shared" si="4"/>
        <v/>
      </c>
      <c r="S14" s="18" t="str">
        <f t="shared" si="5"/>
        <v>Tuần 13–17</v>
      </c>
      <c r="T14" s="20">
        <f t="shared" si="6"/>
        <v>46531</v>
      </c>
      <c r="U14" s="20">
        <f t="shared" si="7"/>
        <v>46563</v>
      </c>
    </row>
    <row r="15" spans="2:21" ht="19.95" customHeight="1" x14ac:dyDescent="0.3">
      <c r="B15" s="16" t="s">
        <v>102</v>
      </c>
      <c r="C15" s="17" t="s">
        <v>100</v>
      </c>
      <c r="D15" s="18" t="s">
        <v>99</v>
      </c>
      <c r="E15" s="17" t="s">
        <v>62</v>
      </c>
      <c r="F15" s="18"/>
      <c r="G15" s="18"/>
      <c r="H15" s="18"/>
      <c r="I15" s="18">
        <v>4</v>
      </c>
      <c r="J15" s="19">
        <f t="shared" si="0"/>
        <v>0</v>
      </c>
      <c r="K15" s="17" t="s">
        <v>46</v>
      </c>
      <c r="L15" s="18">
        <f>MAX(0,M8)</f>
        <v>8</v>
      </c>
      <c r="M15" s="18">
        <f t="shared" si="1"/>
        <v>12</v>
      </c>
      <c r="N15" s="18">
        <f t="shared" si="2"/>
        <v>9</v>
      </c>
      <c r="O15" s="18">
        <f>MIN($D$29,N16,N17)</f>
        <v>13</v>
      </c>
      <c r="P15" s="18">
        <f t="shared" si="3"/>
        <v>1</v>
      </c>
      <c r="Q15" s="18">
        <f>MIN($D$29-M15,L16-M15,L17-M15)</f>
        <v>0</v>
      </c>
      <c r="R15" s="18" t="str">
        <f t="shared" si="4"/>
        <v/>
      </c>
      <c r="S15" s="18" t="str">
        <f t="shared" si="5"/>
        <v>Tuần 9–12</v>
      </c>
      <c r="T15" s="20">
        <f t="shared" si="6"/>
        <v>46503</v>
      </c>
      <c r="U15" s="20">
        <f t="shared" si="7"/>
        <v>46528</v>
      </c>
    </row>
    <row r="16" spans="2:21" ht="19.95" customHeight="1" x14ac:dyDescent="0.3">
      <c r="B16" s="16" t="s">
        <v>106</v>
      </c>
      <c r="C16" s="17" t="s">
        <v>182</v>
      </c>
      <c r="D16" s="18" t="s">
        <v>103</v>
      </c>
      <c r="E16" s="17" t="s">
        <v>102</v>
      </c>
      <c r="F16" s="18"/>
      <c r="G16" s="18"/>
      <c r="H16" s="18"/>
      <c r="I16" s="18">
        <v>3</v>
      </c>
      <c r="J16" s="19">
        <f t="shared" si="0"/>
        <v>0</v>
      </c>
      <c r="K16" s="17" t="s">
        <v>42</v>
      </c>
      <c r="L16" s="18">
        <f>MAX(0,M15)</f>
        <v>12</v>
      </c>
      <c r="M16" s="18">
        <f t="shared" si="1"/>
        <v>15</v>
      </c>
      <c r="N16" s="18">
        <f t="shared" si="2"/>
        <v>13</v>
      </c>
      <c r="O16" s="18">
        <f>MIN($D$29,N21)</f>
        <v>16</v>
      </c>
      <c r="P16" s="18">
        <f t="shared" si="3"/>
        <v>1</v>
      </c>
      <c r="Q16" s="18">
        <f>MIN($D$29-M16,L21-M16)</f>
        <v>1</v>
      </c>
      <c r="R16" s="18" t="str">
        <f t="shared" si="4"/>
        <v/>
      </c>
      <c r="S16" s="18" t="str">
        <f t="shared" si="5"/>
        <v>Tuần 13–15</v>
      </c>
      <c r="T16" s="20">
        <f t="shared" si="6"/>
        <v>46531</v>
      </c>
      <c r="U16" s="20">
        <f t="shared" si="7"/>
        <v>46549</v>
      </c>
    </row>
    <row r="17" spans="2:21" ht="19.95" customHeight="1" x14ac:dyDescent="0.3">
      <c r="B17" s="16" t="s">
        <v>113</v>
      </c>
      <c r="C17" s="17" t="s">
        <v>111</v>
      </c>
      <c r="D17" s="18" t="s">
        <v>110</v>
      </c>
      <c r="E17" s="17" t="s">
        <v>183</v>
      </c>
      <c r="F17" s="18"/>
      <c r="G17" s="18"/>
      <c r="H17" s="18"/>
      <c r="I17" s="18">
        <v>1</v>
      </c>
      <c r="J17" s="19">
        <f t="shared" si="0"/>
        <v>0</v>
      </c>
      <c r="K17" s="17" t="s">
        <v>58</v>
      </c>
      <c r="L17" s="18">
        <f>MAX(0,M10,M11,M12,M13,M15)</f>
        <v>14</v>
      </c>
      <c r="M17" s="18">
        <f t="shared" si="1"/>
        <v>15</v>
      </c>
      <c r="N17" s="18">
        <f t="shared" si="2"/>
        <v>14</v>
      </c>
      <c r="O17" s="18">
        <f>MIN($D$29,N18)</f>
        <v>15</v>
      </c>
      <c r="P17" s="18">
        <f t="shared" si="3"/>
        <v>0</v>
      </c>
      <c r="Q17" s="18">
        <f>MIN($D$29-M17,L18-M17)</f>
        <v>0</v>
      </c>
      <c r="R17" s="18" t="str">
        <f t="shared" si="4"/>
        <v>Critical</v>
      </c>
      <c r="S17" s="18" t="str">
        <f t="shared" si="5"/>
        <v>Tuần 15</v>
      </c>
      <c r="T17" s="20">
        <f t="shared" si="6"/>
        <v>46545</v>
      </c>
      <c r="U17" s="20">
        <f t="shared" si="7"/>
        <v>46549</v>
      </c>
    </row>
    <row r="18" spans="2:21" ht="19.95" customHeight="1" x14ac:dyDescent="0.3">
      <c r="B18" s="16" t="s">
        <v>117</v>
      </c>
      <c r="C18" s="17" t="s">
        <v>115</v>
      </c>
      <c r="D18" s="18" t="s">
        <v>114</v>
      </c>
      <c r="E18" s="17" t="s">
        <v>113</v>
      </c>
      <c r="F18" s="18"/>
      <c r="G18" s="18"/>
      <c r="H18" s="18"/>
      <c r="I18" s="18">
        <v>1</v>
      </c>
      <c r="J18" s="19">
        <f t="shared" si="0"/>
        <v>0</v>
      </c>
      <c r="K18" s="17" t="s">
        <v>42</v>
      </c>
      <c r="L18" s="18">
        <f>MAX(0,M17)</f>
        <v>15</v>
      </c>
      <c r="M18" s="18">
        <f t="shared" si="1"/>
        <v>16</v>
      </c>
      <c r="N18" s="18">
        <f t="shared" si="2"/>
        <v>15</v>
      </c>
      <c r="O18" s="18">
        <f>MIN($D$29,N21)</f>
        <v>16</v>
      </c>
      <c r="P18" s="18">
        <f t="shared" si="3"/>
        <v>0</v>
      </c>
      <c r="Q18" s="18">
        <f>MIN($D$29-M18,L21-M18)</f>
        <v>0</v>
      </c>
      <c r="R18" s="18" t="str">
        <f t="shared" si="4"/>
        <v>Critical</v>
      </c>
      <c r="S18" s="18" t="str">
        <f t="shared" si="5"/>
        <v>Tuần 16</v>
      </c>
      <c r="T18" s="20">
        <f t="shared" si="6"/>
        <v>46552</v>
      </c>
      <c r="U18" s="20">
        <f t="shared" si="7"/>
        <v>46556</v>
      </c>
    </row>
    <row r="19" spans="2:21" ht="19.95" customHeight="1" x14ac:dyDescent="0.3">
      <c r="B19" s="16" t="s">
        <v>124</v>
      </c>
      <c r="C19" s="17" t="s">
        <v>184</v>
      </c>
      <c r="D19" s="18" t="s">
        <v>121</v>
      </c>
      <c r="E19" s="17" t="s">
        <v>185</v>
      </c>
      <c r="F19" s="18"/>
      <c r="G19" s="18"/>
      <c r="H19" s="18"/>
      <c r="I19" s="18">
        <v>3</v>
      </c>
      <c r="J19" s="19">
        <f t="shared" si="0"/>
        <v>0</v>
      </c>
      <c r="K19" s="17" t="s">
        <v>58</v>
      </c>
      <c r="L19" s="18">
        <f>MAX(0,L10+3)</f>
        <v>11</v>
      </c>
      <c r="M19" s="18">
        <f t="shared" si="1"/>
        <v>14</v>
      </c>
      <c r="N19" s="18">
        <f t="shared" si="2"/>
        <v>12</v>
      </c>
      <c r="O19" s="18">
        <f>MIN($D$29,N20)</f>
        <v>15</v>
      </c>
      <c r="P19" s="18">
        <f t="shared" si="3"/>
        <v>1</v>
      </c>
      <c r="Q19" s="18">
        <f>MIN($D$29-M19,L20-M19)</f>
        <v>0</v>
      </c>
      <c r="R19" s="18" t="str">
        <f t="shared" si="4"/>
        <v/>
      </c>
      <c r="S19" s="18" t="str">
        <f t="shared" si="5"/>
        <v>Tuần 12–14</v>
      </c>
      <c r="T19" s="20">
        <f t="shared" si="6"/>
        <v>46524</v>
      </c>
      <c r="U19" s="20">
        <f t="shared" si="7"/>
        <v>46542</v>
      </c>
    </row>
    <row r="20" spans="2:21" ht="19.95" customHeight="1" x14ac:dyDescent="0.3">
      <c r="B20" s="16" t="s">
        <v>128</v>
      </c>
      <c r="C20" s="17" t="s">
        <v>186</v>
      </c>
      <c r="D20" s="18" t="s">
        <v>125</v>
      </c>
      <c r="E20" s="17" t="s">
        <v>124</v>
      </c>
      <c r="F20" s="18"/>
      <c r="G20" s="18"/>
      <c r="H20" s="18"/>
      <c r="I20" s="18">
        <v>6</v>
      </c>
      <c r="J20" s="19">
        <f t="shared" si="0"/>
        <v>0</v>
      </c>
      <c r="K20" s="17" t="s">
        <v>38</v>
      </c>
      <c r="L20" s="18">
        <f>MAX(0,M19)</f>
        <v>14</v>
      </c>
      <c r="M20" s="18">
        <f t="shared" si="1"/>
        <v>20</v>
      </c>
      <c r="N20" s="18">
        <f t="shared" si="2"/>
        <v>15</v>
      </c>
      <c r="O20" s="18">
        <f>MIN($D$29,N21-1+I20,O22-1)</f>
        <v>21</v>
      </c>
      <c r="P20" s="18">
        <f t="shared" si="3"/>
        <v>1</v>
      </c>
      <c r="Q20" s="18">
        <f>MIN($D$29-M20,L21-1-L20,M22-1-M20)</f>
        <v>1</v>
      </c>
      <c r="R20" s="18" t="str">
        <f t="shared" si="4"/>
        <v/>
      </c>
      <c r="S20" s="18" t="str">
        <f t="shared" si="5"/>
        <v>Tuần 15–20</v>
      </c>
      <c r="T20" s="20">
        <f t="shared" si="6"/>
        <v>46545</v>
      </c>
      <c r="U20" s="20">
        <f t="shared" si="7"/>
        <v>46584</v>
      </c>
    </row>
    <row r="21" spans="2:21" ht="19.95" customHeight="1" x14ac:dyDescent="0.3">
      <c r="B21" s="16" t="s">
        <v>138</v>
      </c>
      <c r="C21" s="17" t="s">
        <v>136</v>
      </c>
      <c r="D21" s="18" t="s">
        <v>135</v>
      </c>
      <c r="E21" s="17" t="s">
        <v>187</v>
      </c>
      <c r="F21" s="18"/>
      <c r="G21" s="18"/>
      <c r="H21" s="18"/>
      <c r="I21" s="18">
        <v>2</v>
      </c>
      <c r="J21" s="19">
        <f t="shared" si="0"/>
        <v>0</v>
      </c>
      <c r="K21" s="17" t="s">
        <v>38</v>
      </c>
      <c r="L21" s="18">
        <f>MAX(0,M18,M16,L20+1)</f>
        <v>16</v>
      </c>
      <c r="M21" s="18">
        <f t="shared" si="1"/>
        <v>18</v>
      </c>
      <c r="N21" s="18">
        <f t="shared" si="2"/>
        <v>16</v>
      </c>
      <c r="O21" s="18">
        <f>MIN($D$29,N22)</f>
        <v>18</v>
      </c>
      <c r="P21" s="18">
        <f t="shared" si="3"/>
        <v>0</v>
      </c>
      <c r="Q21" s="18">
        <f>MIN($D$29-M21,L22-M21)</f>
        <v>0</v>
      </c>
      <c r="R21" s="18" t="str">
        <f t="shared" si="4"/>
        <v>Critical</v>
      </c>
      <c r="S21" s="18" t="str">
        <f t="shared" si="5"/>
        <v>Tuần 17–18</v>
      </c>
      <c r="T21" s="20">
        <f t="shared" si="6"/>
        <v>46559</v>
      </c>
      <c r="U21" s="20">
        <f t="shared" si="7"/>
        <v>46570</v>
      </c>
    </row>
    <row r="22" spans="2:21" ht="19.95" customHeight="1" x14ac:dyDescent="0.3">
      <c r="B22" s="16" t="s">
        <v>142</v>
      </c>
      <c r="C22" s="17" t="s">
        <v>140</v>
      </c>
      <c r="D22" s="18" t="s">
        <v>139</v>
      </c>
      <c r="E22" s="17" t="s">
        <v>188</v>
      </c>
      <c r="F22" s="18"/>
      <c r="G22" s="18"/>
      <c r="H22" s="18"/>
      <c r="I22" s="18">
        <v>4</v>
      </c>
      <c r="J22" s="19">
        <f t="shared" si="0"/>
        <v>0</v>
      </c>
      <c r="K22" s="17" t="s">
        <v>38</v>
      </c>
      <c r="L22" s="18">
        <f>MAX(0,M21,M14,M20+1-I22)</f>
        <v>18</v>
      </c>
      <c r="M22" s="18">
        <f t="shared" si="1"/>
        <v>22</v>
      </c>
      <c r="N22" s="18">
        <f t="shared" si="2"/>
        <v>18</v>
      </c>
      <c r="O22" s="18">
        <f>MIN($D$29,N23)</f>
        <v>22</v>
      </c>
      <c r="P22" s="18">
        <f t="shared" si="3"/>
        <v>0</v>
      </c>
      <c r="Q22" s="18">
        <f>MIN($D$29-M22,L23-M22)</f>
        <v>0</v>
      </c>
      <c r="R22" s="18" t="str">
        <f t="shared" si="4"/>
        <v>Critical</v>
      </c>
      <c r="S22" s="18" t="str">
        <f t="shared" si="5"/>
        <v>Tuần 19–22</v>
      </c>
      <c r="T22" s="20">
        <f t="shared" si="6"/>
        <v>46573</v>
      </c>
      <c r="U22" s="20">
        <f t="shared" si="7"/>
        <v>46598</v>
      </c>
    </row>
    <row r="23" spans="2:21" ht="19.95" customHeight="1" x14ac:dyDescent="0.3">
      <c r="B23" s="16" t="s">
        <v>146</v>
      </c>
      <c r="C23" s="17" t="s">
        <v>144</v>
      </c>
      <c r="D23" s="18" t="s">
        <v>143</v>
      </c>
      <c r="E23" s="17" t="s">
        <v>142</v>
      </c>
      <c r="F23" s="18"/>
      <c r="G23" s="18"/>
      <c r="H23" s="18"/>
      <c r="I23" s="18">
        <v>3</v>
      </c>
      <c r="J23" s="19">
        <f t="shared" si="0"/>
        <v>0</v>
      </c>
      <c r="K23" s="17" t="s">
        <v>58</v>
      </c>
      <c r="L23" s="18">
        <f>MAX(0,M22)</f>
        <v>22</v>
      </c>
      <c r="M23" s="18">
        <f t="shared" si="1"/>
        <v>25</v>
      </c>
      <c r="N23" s="18">
        <f t="shared" si="2"/>
        <v>22</v>
      </c>
      <c r="O23" s="18">
        <f>MIN($D$29,N24,N25)</f>
        <v>25</v>
      </c>
      <c r="P23" s="18">
        <f t="shared" si="3"/>
        <v>0</v>
      </c>
      <c r="Q23" s="18">
        <f>MIN($D$29-M23,L24-M23,L25-M23)</f>
        <v>0</v>
      </c>
      <c r="R23" s="18" t="str">
        <f t="shared" si="4"/>
        <v>Critical</v>
      </c>
      <c r="S23" s="18" t="str">
        <f t="shared" si="5"/>
        <v>Tuần 23–25</v>
      </c>
      <c r="T23" s="20">
        <f t="shared" si="6"/>
        <v>46601</v>
      </c>
      <c r="U23" s="20">
        <f t="shared" si="7"/>
        <v>46619</v>
      </c>
    </row>
    <row r="24" spans="2:21" ht="19.95" customHeight="1" x14ac:dyDescent="0.3">
      <c r="B24" s="16" t="s">
        <v>153</v>
      </c>
      <c r="C24" s="17" t="s">
        <v>151</v>
      </c>
      <c r="D24" s="18" t="s">
        <v>150</v>
      </c>
      <c r="E24" s="17" t="s">
        <v>146</v>
      </c>
      <c r="F24" s="18"/>
      <c r="G24" s="18"/>
      <c r="H24" s="18"/>
      <c r="I24" s="18">
        <v>1</v>
      </c>
      <c r="J24" s="19">
        <f t="shared" si="0"/>
        <v>0</v>
      </c>
      <c r="K24" s="17" t="s">
        <v>17</v>
      </c>
      <c r="L24" s="18">
        <f>MAX(0,M23)</f>
        <v>25</v>
      </c>
      <c r="M24" s="18">
        <f t="shared" si="1"/>
        <v>26</v>
      </c>
      <c r="N24" s="18">
        <f t="shared" si="2"/>
        <v>25</v>
      </c>
      <c r="O24" s="18">
        <f>MIN($D$29,N26)</f>
        <v>26</v>
      </c>
      <c r="P24" s="18">
        <f t="shared" si="3"/>
        <v>0</v>
      </c>
      <c r="Q24" s="18">
        <f>MIN($D$29-M24,L26-M24)</f>
        <v>0</v>
      </c>
      <c r="R24" s="18" t="str">
        <f t="shared" si="4"/>
        <v>Critical</v>
      </c>
      <c r="S24" s="18" t="str">
        <f t="shared" si="5"/>
        <v>Tuần 26</v>
      </c>
      <c r="T24" s="20">
        <f t="shared" si="6"/>
        <v>46622</v>
      </c>
      <c r="U24" s="20">
        <f t="shared" si="7"/>
        <v>46626</v>
      </c>
    </row>
    <row r="25" spans="2:21" ht="19.95" customHeight="1" x14ac:dyDescent="0.3">
      <c r="B25" s="16" t="s">
        <v>157</v>
      </c>
      <c r="C25" s="17" t="s">
        <v>189</v>
      </c>
      <c r="D25" s="18" t="s">
        <v>154</v>
      </c>
      <c r="E25" s="17" t="s">
        <v>146</v>
      </c>
      <c r="F25" s="18"/>
      <c r="G25" s="18"/>
      <c r="H25" s="18"/>
      <c r="I25" s="18">
        <v>1</v>
      </c>
      <c r="J25" s="19">
        <f t="shared" si="0"/>
        <v>0</v>
      </c>
      <c r="K25" s="17" t="s">
        <v>31</v>
      </c>
      <c r="L25" s="18">
        <f>MAX(0,M23)</f>
        <v>25</v>
      </c>
      <c r="M25" s="18">
        <f t="shared" si="1"/>
        <v>26</v>
      </c>
      <c r="N25" s="18">
        <f t="shared" si="2"/>
        <v>25</v>
      </c>
      <c r="O25" s="18">
        <f>MIN($D$29,N26)</f>
        <v>26</v>
      </c>
      <c r="P25" s="18">
        <f t="shared" si="3"/>
        <v>0</v>
      </c>
      <c r="Q25" s="18">
        <f>MIN($D$29-M25,L26-M25)</f>
        <v>0</v>
      </c>
      <c r="R25" s="18" t="str">
        <f t="shared" si="4"/>
        <v>Critical</v>
      </c>
      <c r="S25" s="18" t="str">
        <f t="shared" si="5"/>
        <v>Tuần 26</v>
      </c>
      <c r="T25" s="20">
        <f t="shared" si="6"/>
        <v>46622</v>
      </c>
      <c r="U25" s="20">
        <f t="shared" si="7"/>
        <v>46626</v>
      </c>
    </row>
    <row r="26" spans="2:21" ht="19.95" customHeight="1" x14ac:dyDescent="0.3">
      <c r="B26" s="16" t="s">
        <v>190</v>
      </c>
      <c r="C26" s="17" t="s">
        <v>191</v>
      </c>
      <c r="D26" s="18" t="s">
        <v>179</v>
      </c>
      <c r="E26" s="17" t="s">
        <v>192</v>
      </c>
      <c r="F26" s="18"/>
      <c r="G26" s="18"/>
      <c r="H26" s="18"/>
      <c r="I26" s="18">
        <v>0</v>
      </c>
      <c r="J26" s="19">
        <f t="shared" si="0"/>
        <v>0</v>
      </c>
      <c r="K26" s="17" t="s">
        <v>179</v>
      </c>
      <c r="L26" s="18">
        <f>MAX(0,M24,M25)</f>
        <v>26</v>
      </c>
      <c r="M26" s="18">
        <f t="shared" si="1"/>
        <v>26</v>
      </c>
      <c r="N26" s="18">
        <f t="shared" si="2"/>
        <v>26</v>
      </c>
      <c r="O26" s="18">
        <f>MIN($D$29)</f>
        <v>26</v>
      </c>
      <c r="P26" s="18">
        <f t="shared" si="3"/>
        <v>0</v>
      </c>
      <c r="Q26" s="18">
        <f>MIN($D$29-M26)</f>
        <v>0</v>
      </c>
      <c r="R26" s="18" t="str">
        <f t="shared" si="4"/>
        <v>Critical</v>
      </c>
      <c r="S26" s="18" t="str">
        <f t="shared" si="5"/>
        <v>Cuối tuần 26</v>
      </c>
      <c r="T26" s="20">
        <f t="shared" si="6"/>
        <v>46626</v>
      </c>
      <c r="U26" s="20">
        <f t="shared" si="7"/>
        <v>46626</v>
      </c>
    </row>
    <row r="28" spans="2:21" ht="22.05" customHeight="1" x14ac:dyDescent="0.3">
      <c r="B28" s="96" t="s">
        <v>193</v>
      </c>
      <c r="C28" s="97"/>
      <c r="D28" s="98">
        <v>46447</v>
      </c>
      <c r="E28" s="93"/>
      <c r="F28" s="94"/>
    </row>
    <row r="29" spans="2:21" ht="22.05" customHeight="1" x14ac:dyDescent="0.3">
      <c r="B29" s="96" t="s">
        <v>194</v>
      </c>
      <c r="C29" s="97"/>
      <c r="D29" s="92">
        <f>MAX(M5:M26)</f>
        <v>26</v>
      </c>
      <c r="E29" s="93"/>
      <c r="F29" s="94"/>
    </row>
    <row r="30" spans="2:21" ht="22.05" customHeight="1" x14ac:dyDescent="0.3">
      <c r="B30" s="96" t="s">
        <v>195</v>
      </c>
      <c r="C30" s="97"/>
      <c r="D30" s="99">
        <f>SUMPRODUCT((ABS(P5:P26)&lt;0.0001)*J5:J26)</f>
        <v>0.44444444444444442</v>
      </c>
      <c r="E30" s="93"/>
      <c r="F30" s="94"/>
    </row>
    <row r="31" spans="2:21" ht="22.05" customHeight="1" x14ac:dyDescent="0.3">
      <c r="B31" s="96" t="s">
        <v>196</v>
      </c>
      <c r="C31" s="97"/>
      <c r="D31" s="99">
        <f>SQRT(D30)</f>
        <v>0.66666666666666663</v>
      </c>
      <c r="E31" s="93"/>
      <c r="F31" s="94"/>
    </row>
    <row r="32" spans="2:21" ht="22.05" customHeight="1" x14ac:dyDescent="0.3">
      <c r="B32" s="96" t="s">
        <v>197</v>
      </c>
      <c r="C32" s="97"/>
      <c r="D32" s="92">
        <v>26</v>
      </c>
      <c r="E32" s="93"/>
      <c r="F32" s="94"/>
    </row>
    <row r="33" spans="2:11" ht="22.05" customHeight="1" x14ac:dyDescent="0.3">
      <c r="B33" s="96" t="s">
        <v>198</v>
      </c>
      <c r="C33" s="97"/>
      <c r="D33" s="100">
        <f>_xlfn.NORM.S.DIST(($D$32-$D$29)/D31,TRUE)</f>
        <v>0.5</v>
      </c>
      <c r="E33" s="93"/>
      <c r="F33" s="94"/>
    </row>
    <row r="34" spans="2:11" ht="22.05" customHeight="1" x14ac:dyDescent="0.3">
      <c r="B34" s="96" t="s">
        <v>199</v>
      </c>
      <c r="C34" s="97"/>
      <c r="D34" s="95" t="str">
        <f t="array" ref="D34">_xlfn.TEXTJOIN(", ",TRUE,IF(ABS(P5:P26)&lt;0.0001,B5:B26,""))</f>
        <v>Start, A, B, C, E, L, M, P, Q, R, S, T, End</v>
      </c>
      <c r="E34" s="93"/>
      <c r="F34" s="93"/>
      <c r="G34" s="93"/>
      <c r="H34" s="93"/>
      <c r="I34" s="93"/>
      <c r="J34" s="93"/>
      <c r="K34" s="94"/>
    </row>
    <row r="36" spans="2:11" x14ac:dyDescent="0.3">
      <c r="B36" s="21" t="s">
        <v>200</v>
      </c>
    </row>
  </sheetData>
  <mergeCells count="34">
    <mergeCell ref="O3:O4"/>
    <mergeCell ref="E3:E4"/>
    <mergeCell ref="Q3:Q4"/>
    <mergeCell ref="S3:S4"/>
    <mergeCell ref="B32:C32"/>
    <mergeCell ref="U3:U4"/>
    <mergeCell ref="D30:F30"/>
    <mergeCell ref="D33:F33"/>
    <mergeCell ref="D29:F29"/>
    <mergeCell ref="B29:C29"/>
    <mergeCell ref="P3:P4"/>
    <mergeCell ref="B28:C28"/>
    <mergeCell ref="H3:H4"/>
    <mergeCell ref="R3:R4"/>
    <mergeCell ref="T3:T4"/>
    <mergeCell ref="J3:J4"/>
    <mergeCell ref="B30:C30"/>
    <mergeCell ref="B33:C33"/>
    <mergeCell ref="K3:K4"/>
    <mergeCell ref="C3:C4"/>
    <mergeCell ref="D31:F31"/>
    <mergeCell ref="L3:L4"/>
    <mergeCell ref="B3:B4"/>
    <mergeCell ref="D32:F32"/>
    <mergeCell ref="N3:N4"/>
    <mergeCell ref="D34:K34"/>
    <mergeCell ref="F3:F4"/>
    <mergeCell ref="B31:C31"/>
    <mergeCell ref="D28:F28"/>
    <mergeCell ref="G3:G4"/>
    <mergeCell ref="M3:M4"/>
    <mergeCell ref="I3:I4"/>
    <mergeCell ref="D3:D4"/>
    <mergeCell ref="B34:C34"/>
  </mergeCells>
  <conditionalFormatting sqref="B5:C26">
    <cfRule type="expression" dxfId="10" priority="1">
      <formula>ABS($P5)&lt;0.0001</formula>
    </cfRule>
  </conditionalFormatting>
  <conditionalFormatting sqref="R5:R26">
    <cfRule type="expression" dxfId="9" priority="2">
      <formula>ABS($P5)&lt;0.0001</formula>
    </cfRule>
  </conditionalFormatting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  <pageSetUpPr fitToPage="1"/>
  </sheetPr>
  <dimension ref="A1:AG30"/>
  <sheetViews>
    <sheetView showGridLines="0" workbookViewId="0"/>
  </sheetViews>
  <sheetFormatPr defaultRowHeight="14.4" x14ac:dyDescent="0.3"/>
  <cols>
    <col min="1" max="1" width="2.6640625" style="3" customWidth="1"/>
    <col min="2" max="2" width="31" style="3" customWidth="1"/>
    <col min="3" max="3" width="12.44140625" style="3" customWidth="1"/>
    <col min="4" max="4" width="7.44140625" style="3" customWidth="1"/>
    <col min="5" max="5" width="6.44140625" style="3" customWidth="1"/>
    <col min="6" max="31" width="4.44140625" style="3" customWidth="1"/>
    <col min="32" max="32" width="2" style="3" customWidth="1"/>
    <col min="33" max="33" width="6" style="3" hidden="1" customWidth="1"/>
  </cols>
  <sheetData>
    <row r="1" spans="2:33" ht="42" customHeight="1" x14ac:dyDescent="0.3">
      <c r="B1" s="22" t="s">
        <v>201</v>
      </c>
    </row>
    <row r="2" spans="2:33" ht="21" customHeight="1" x14ac:dyDescent="0.3">
      <c r="B2" s="5" t="s">
        <v>202</v>
      </c>
    </row>
    <row r="3" spans="2:33" ht="37.950000000000003" customHeight="1" x14ac:dyDescent="0.3">
      <c r="B3" s="101" t="s">
        <v>161</v>
      </c>
      <c r="C3" s="90" t="s">
        <v>5</v>
      </c>
      <c r="D3" s="90" t="s">
        <v>203</v>
      </c>
      <c r="E3" s="90" t="s">
        <v>7</v>
      </c>
      <c r="F3" s="23">
        <f>'Hoạt động, lịch'!$D$28+(F$4-1)*7</f>
        <v>46447</v>
      </c>
      <c r="G3" s="23">
        <f>'Hoạt động, lịch'!$D$28+(G$4-1)*7</f>
        <v>46454</v>
      </c>
      <c r="H3" s="23">
        <f>'Hoạt động, lịch'!$D$28+(H$4-1)*7</f>
        <v>46461</v>
      </c>
      <c r="I3" s="23">
        <f>'Hoạt động, lịch'!$D$28+(I$4-1)*7</f>
        <v>46468</v>
      </c>
      <c r="J3" s="23">
        <f>'Hoạt động, lịch'!$D$28+(J$4-1)*7</f>
        <v>46475</v>
      </c>
      <c r="K3" s="23">
        <f>'Hoạt động, lịch'!$D$28+(K$4-1)*7</f>
        <v>46482</v>
      </c>
      <c r="L3" s="23">
        <f>'Hoạt động, lịch'!$D$28+(L$4-1)*7</f>
        <v>46489</v>
      </c>
      <c r="M3" s="23">
        <f>'Hoạt động, lịch'!$D$28+(M$4-1)*7</f>
        <v>46496</v>
      </c>
      <c r="N3" s="23">
        <f>'Hoạt động, lịch'!$D$28+(N$4-1)*7</f>
        <v>46503</v>
      </c>
      <c r="O3" s="23">
        <f>'Hoạt động, lịch'!$D$28+(O$4-1)*7</f>
        <v>46510</v>
      </c>
      <c r="P3" s="23">
        <f>'Hoạt động, lịch'!$D$28+(P$4-1)*7</f>
        <v>46517</v>
      </c>
      <c r="Q3" s="23">
        <f>'Hoạt động, lịch'!$D$28+(Q$4-1)*7</f>
        <v>46524</v>
      </c>
      <c r="R3" s="23">
        <f>'Hoạt động, lịch'!$D$28+(R$4-1)*7</f>
        <v>46531</v>
      </c>
      <c r="S3" s="23">
        <f>'Hoạt động, lịch'!$D$28+(S$4-1)*7</f>
        <v>46538</v>
      </c>
      <c r="T3" s="23">
        <f>'Hoạt động, lịch'!$D$28+(T$4-1)*7</f>
        <v>46545</v>
      </c>
      <c r="U3" s="23">
        <f>'Hoạt động, lịch'!$D$28+(U$4-1)*7</f>
        <v>46552</v>
      </c>
      <c r="V3" s="23">
        <f>'Hoạt động, lịch'!$D$28+(V$4-1)*7</f>
        <v>46559</v>
      </c>
      <c r="W3" s="23">
        <f>'Hoạt động, lịch'!$D$28+(W$4-1)*7</f>
        <v>46566</v>
      </c>
      <c r="X3" s="23">
        <f>'Hoạt động, lịch'!$D$28+(X$4-1)*7</f>
        <v>46573</v>
      </c>
      <c r="Y3" s="23">
        <f>'Hoạt động, lịch'!$D$28+(Y$4-1)*7</f>
        <v>46580</v>
      </c>
      <c r="Z3" s="23">
        <f>'Hoạt động, lịch'!$D$28+(Z$4-1)*7</f>
        <v>46587</v>
      </c>
      <c r="AA3" s="23">
        <f>'Hoạt động, lịch'!$D$28+(AA$4-1)*7</f>
        <v>46594</v>
      </c>
      <c r="AB3" s="23">
        <f>'Hoạt động, lịch'!$D$28+(AB$4-1)*7</f>
        <v>46601</v>
      </c>
      <c r="AC3" s="23">
        <f>'Hoạt động, lịch'!$D$28+(AC$4-1)*7</f>
        <v>46608</v>
      </c>
      <c r="AD3" s="23">
        <f>'Hoạt động, lịch'!$D$28+(AD$4-1)*7</f>
        <v>46615</v>
      </c>
      <c r="AE3" s="23">
        <f>'Hoạt động, lịch'!$D$28+(AE$4-1)*7</f>
        <v>46622</v>
      </c>
    </row>
    <row r="4" spans="2:33" ht="16.05" customHeight="1" x14ac:dyDescent="0.3">
      <c r="B4" s="91"/>
      <c r="C4" s="91"/>
      <c r="D4" s="91"/>
      <c r="E4" s="91"/>
      <c r="F4" s="24">
        <v>1</v>
      </c>
      <c r="G4" s="24">
        <v>2</v>
      </c>
      <c r="H4" s="24">
        <v>3</v>
      </c>
      <c r="I4" s="24">
        <v>4</v>
      </c>
      <c r="J4" s="24">
        <v>5</v>
      </c>
      <c r="K4" s="24">
        <v>6</v>
      </c>
      <c r="L4" s="24">
        <v>7</v>
      </c>
      <c r="M4" s="24">
        <v>8</v>
      </c>
      <c r="N4" s="24">
        <v>9</v>
      </c>
      <c r="O4" s="24">
        <v>10</v>
      </c>
      <c r="P4" s="24">
        <v>11</v>
      </c>
      <c r="Q4" s="24">
        <v>12</v>
      </c>
      <c r="R4" s="24">
        <v>13</v>
      </c>
      <c r="S4" s="24">
        <v>14</v>
      </c>
      <c r="T4" s="24">
        <v>15</v>
      </c>
      <c r="U4" s="24">
        <v>16</v>
      </c>
      <c r="V4" s="24">
        <v>17</v>
      </c>
      <c r="W4" s="24">
        <v>18</v>
      </c>
      <c r="X4" s="24">
        <v>19</v>
      </c>
      <c r="Y4" s="24">
        <v>20</v>
      </c>
      <c r="Z4" s="24">
        <v>21</v>
      </c>
      <c r="AA4" s="24">
        <v>22</v>
      </c>
      <c r="AB4" s="24">
        <v>23</v>
      </c>
      <c r="AC4" s="24">
        <v>24</v>
      </c>
      <c r="AD4" s="24">
        <v>25</v>
      </c>
      <c r="AE4" s="24">
        <v>26</v>
      </c>
    </row>
    <row r="5" spans="2:33" ht="19.95" customHeight="1" x14ac:dyDescent="0.3">
      <c r="B5" s="25" t="str">
        <f>'Hoạt động, lịch'!$B6&amp;". "&amp;'Hoạt động, lịch'!$C6</f>
        <v>A. Khảo sát hiện trạng</v>
      </c>
      <c r="C5" s="26" t="str">
        <f>'Hoạt động, lịch'!$K6</f>
        <v>Đức Anh</v>
      </c>
      <c r="D5" s="27">
        <f>'Hoạt động, lịch'!$L6+1</f>
        <v>1</v>
      </c>
      <c r="E5" s="27">
        <f>'Hoạt động, lịch'!$I6</f>
        <v>3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G5">
        <f>'Hoạt động, lịch'!$P6</f>
        <v>0</v>
      </c>
    </row>
    <row r="6" spans="2:33" ht="19.95" customHeight="1" x14ac:dyDescent="0.3">
      <c r="B6" s="25" t="str">
        <f>'Hoạt động, lịch'!$B7&amp;". "&amp;'Hoạt động, lịch'!$C7</f>
        <v>B. Đặc tả yêu cầu (SRS)</v>
      </c>
      <c r="C6" s="26" t="str">
        <f>'Hoạt động, lịch'!$K7</f>
        <v>Đức Anh</v>
      </c>
      <c r="D6" s="27">
        <f>'Hoạt động, lịch'!$L7+1</f>
        <v>4</v>
      </c>
      <c r="E6" s="27">
        <f>'Hoạt động, lịch'!$I7</f>
        <v>3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G6">
        <f>'Hoạt động, lịch'!$P7</f>
        <v>0</v>
      </c>
    </row>
    <row r="7" spans="2:33" ht="19.95" customHeight="1" x14ac:dyDescent="0.3">
      <c r="B7" s="25" t="str">
        <f>'Hoạt động, lịch'!$B8&amp;". "&amp;'Hoạt động, lịch'!$C8</f>
        <v>C. Quy trình to-be, thiết kế cấu hình</v>
      </c>
      <c r="C7" s="26" t="str">
        <f>'Hoạt động, lịch'!$K8</f>
        <v>Đối tác RMS</v>
      </c>
      <c r="D7" s="27">
        <f>'Hoạt động, lịch'!$L8+1</f>
        <v>7</v>
      </c>
      <c r="E7" s="27">
        <f>'Hoạt động, lịch'!$I8</f>
        <v>2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G7">
        <f>'Hoạt động, lịch'!$P8</f>
        <v>0</v>
      </c>
    </row>
    <row r="8" spans="2:33" ht="19.95" customHeight="1" x14ac:dyDescent="0.3">
      <c r="B8" s="25" t="str">
        <f>'Hoạt động, lịch'!$B9&amp;". "&amp;'Hoạt động, lịch'!$C9</f>
        <v>D. Kiến trúc tích hợp</v>
      </c>
      <c r="C8" s="26" t="str">
        <f>'Hoạt động, lịch'!$K9</f>
        <v>Đối tác RMS</v>
      </c>
      <c r="D8" s="27">
        <f>'Hoạt động, lịch'!$L9+1</f>
        <v>7</v>
      </c>
      <c r="E8" s="27">
        <f>'Hoạt động, lịch'!$I9</f>
        <v>2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G8">
        <f>'Hoạt động, lịch'!$P9</f>
        <v>1</v>
      </c>
    </row>
    <row r="9" spans="2:33" ht="19.95" customHeight="1" x14ac:dyDescent="0.3">
      <c r="B9" s="25" t="str">
        <f>'Hoạt động, lịch'!$B10&amp;". "&amp;'Hoạt động, lịch'!$C10</f>
        <v>E. Cấu hình RMS lõi</v>
      </c>
      <c r="C9" s="26" t="str">
        <f>'Hoạt động, lịch'!$K10</f>
        <v>Đối tác RMS</v>
      </c>
      <c r="D9" s="27">
        <f>'Hoạt động, lịch'!$L10+1</f>
        <v>9</v>
      </c>
      <c r="E9" s="27">
        <f>'Hoạt động, lịch'!$I10</f>
        <v>6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G9">
        <f>'Hoạt động, lịch'!$P10</f>
        <v>0</v>
      </c>
    </row>
    <row r="10" spans="2:33" ht="19.95" customHeight="1" x14ac:dyDescent="0.3">
      <c r="B10" s="25" t="str">
        <f>'Hoạt động, lịch'!$B11&amp;". "&amp;'Hoạt động, lịch'!$C11</f>
        <v>F. Tích hợp ngoài (P9)</v>
      </c>
      <c r="C10" s="26" t="str">
        <f>'Hoạt động, lịch'!$K11</f>
        <v>Đối tác RMS</v>
      </c>
      <c r="D10" s="27">
        <f>'Hoạt động, lịch'!$L11+1</f>
        <v>9</v>
      </c>
      <c r="E10" s="27">
        <f>'Hoạt động, lịch'!$I11</f>
        <v>5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G10">
        <f>'Hoạt động, lịch'!$P11</f>
        <v>1</v>
      </c>
    </row>
    <row r="11" spans="2:33" ht="19.95" customHeight="1" x14ac:dyDescent="0.3">
      <c r="B11" s="25" t="str">
        <f>'Hoạt động, lịch'!$B12&amp;". "&amp;'Hoạt động, lịch'!$C12</f>
        <v>G. Kênh online (P6)</v>
      </c>
      <c r="C11" s="26" t="str">
        <f>'Hoạt động, lịch'!$K12</f>
        <v>Đối tác RMS</v>
      </c>
      <c r="D11" s="27">
        <f>'Hoạt động, lịch'!$L12+1</f>
        <v>9</v>
      </c>
      <c r="E11" s="27">
        <f>'Hoạt động, lịch'!$I12</f>
        <v>4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G11">
        <f>'Hoạt động, lịch'!$P12</f>
        <v>2</v>
      </c>
    </row>
    <row r="12" spans="2:33" ht="19.95" customHeight="1" x14ac:dyDescent="0.3">
      <c r="B12" s="25" t="str">
        <f>'Hoạt động, lịch'!$B13&amp;". "&amp;'Hoạt động, lịch'!$C13</f>
        <v>H. Thiết bị đợt 1 (pilot)</v>
      </c>
      <c r="C12" s="26" t="str">
        <f>'Hoạt động, lịch'!$K13</f>
        <v>Lê Anh</v>
      </c>
      <c r="D12" s="27">
        <f>'Hoạt động, lịch'!$L13+1</f>
        <v>9</v>
      </c>
      <c r="E12" s="27">
        <f>'Hoạt động, lịch'!$I13</f>
        <v>4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G12">
        <f>'Hoạt động, lịch'!$P13</f>
        <v>1</v>
      </c>
    </row>
    <row r="13" spans="2:33" ht="19.95" customHeight="1" x14ac:dyDescent="0.3">
      <c r="B13" s="25" t="str">
        <f>'Hoạt động, lịch'!$B14&amp;". "&amp;'Hoạt động, lịch'!$C14</f>
        <v>I. Thiết bị đợt 2</v>
      </c>
      <c r="C13" s="26" t="str">
        <f>'Hoạt động, lịch'!$K14</f>
        <v>Lê Anh</v>
      </c>
      <c r="D13" s="27">
        <f>'Hoạt động, lịch'!$L14+1</f>
        <v>13</v>
      </c>
      <c r="E13" s="27">
        <f>'Hoạt động, lịch'!$I14</f>
        <v>5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G13">
        <f>'Hoạt động, lịch'!$P14</f>
        <v>1</v>
      </c>
    </row>
    <row r="14" spans="2:33" ht="19.95" customHeight="1" x14ac:dyDescent="0.3">
      <c r="B14" s="25" t="str">
        <f>'Hoạt động, lịch'!$B15&amp;". "&amp;'Hoạt động, lịch'!$C15</f>
        <v>J. Thực đơn, công thức</v>
      </c>
      <c r="C14" s="26" t="str">
        <f>'Hoạt động, lịch'!$K15</f>
        <v>Đức Anh</v>
      </c>
      <c r="D14" s="27">
        <f>'Hoạt động, lịch'!$L15+1</f>
        <v>9</v>
      </c>
      <c r="E14" s="27">
        <f>'Hoạt động, lịch'!$I15</f>
        <v>4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G14">
        <f>'Hoạt động, lịch'!$P15</f>
        <v>1</v>
      </c>
    </row>
    <row r="15" spans="2:33" ht="19.95" customHeight="1" x14ac:dyDescent="0.3">
      <c r="B15" s="25" t="str">
        <f>'Hoạt động, lịch'!$B16&amp;". "&amp;'Hoạt động, lịch'!$C16</f>
        <v>K. Khách hàng, tồn kho đầu kỳ</v>
      </c>
      <c r="C15" s="26" t="str">
        <f>'Hoạt động, lịch'!$K16</f>
        <v>Quang Hiếu</v>
      </c>
      <c r="D15" s="27">
        <f>'Hoạt động, lịch'!$L16+1</f>
        <v>13</v>
      </c>
      <c r="E15" s="27">
        <f>'Hoạt động, lịch'!$I16</f>
        <v>3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G15">
        <f>'Hoạt động, lịch'!$P16</f>
        <v>1</v>
      </c>
    </row>
    <row r="16" spans="2:33" ht="19.95" customHeight="1" x14ac:dyDescent="0.3">
      <c r="B16" s="25" t="str">
        <f>'Hoạt động, lịch'!$B17&amp;". "&amp;'Hoạt động, lịch'!$C17</f>
        <v>L. SIT, kiểm thử tải</v>
      </c>
      <c r="C16" s="26" t="str">
        <f>'Hoạt động, lịch'!$K17</f>
        <v>Đối tác RMS</v>
      </c>
      <c r="D16" s="27">
        <f>'Hoạt động, lịch'!$L17+1</f>
        <v>15</v>
      </c>
      <c r="E16" s="27">
        <f>'Hoạt động, lịch'!$I17</f>
        <v>1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G16">
        <f>'Hoạt động, lịch'!$P17</f>
        <v>0</v>
      </c>
    </row>
    <row r="17" spans="2:33" ht="19.95" customHeight="1" x14ac:dyDescent="0.3">
      <c r="B17" s="25" t="str">
        <f>'Hoạt động, lịch'!$B18&amp;". "&amp;'Hoạt động, lịch'!$C18</f>
        <v>M. UAT</v>
      </c>
      <c r="C17" s="26" t="str">
        <f>'Hoạt động, lịch'!$K18</f>
        <v>Quang Hiếu</v>
      </c>
      <c r="D17" s="27">
        <f>'Hoạt động, lịch'!$L18+1</f>
        <v>16</v>
      </c>
      <c r="E17" s="27">
        <f>'Hoạt động, lịch'!$I18</f>
        <v>1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G17">
        <f>'Hoạt động, lịch'!$P18</f>
        <v>0</v>
      </c>
    </row>
    <row r="18" spans="2:33" ht="19.95" customHeight="1" x14ac:dyDescent="0.3">
      <c r="B18" s="25" t="str">
        <f>'Hoạt động, lịch'!$B19&amp;". "&amp;'Hoạt động, lịch'!$C19</f>
        <v>N. Tài liệu, đào tạo trainer</v>
      </c>
      <c r="C18" s="26" t="str">
        <f>'Hoạt động, lịch'!$K19</f>
        <v>Đối tác RMS</v>
      </c>
      <c r="D18" s="27">
        <f>'Hoạt động, lịch'!$L19+1</f>
        <v>12</v>
      </c>
      <c r="E18" s="27">
        <f>'Hoạt động, lịch'!$I19</f>
        <v>3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G18">
        <f>'Hoạt động, lịch'!$P19</f>
        <v>1</v>
      </c>
    </row>
    <row r="19" spans="2:33" ht="19.95" customHeight="1" x14ac:dyDescent="0.3">
      <c r="B19" s="25" t="str">
        <f>'Hoạt động, lịch'!$B20&amp;". "&amp;'Hoạt động, lịch'!$C20</f>
        <v>O. Đào tạo nhân viên theo đợt</v>
      </c>
      <c r="C19" s="26" t="str">
        <f>'Hoạt động, lịch'!$K20</f>
        <v>Tuấn Anh</v>
      </c>
      <c r="D19" s="27">
        <f>'Hoạt động, lịch'!$L20+1</f>
        <v>15</v>
      </c>
      <c r="E19" s="27">
        <f>'Hoạt động, lịch'!$I20</f>
        <v>6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G19">
        <f>'Hoạt động, lịch'!$P20</f>
        <v>1</v>
      </c>
    </row>
    <row r="20" spans="2:33" ht="19.95" customHeight="1" x14ac:dyDescent="0.3">
      <c r="B20" s="25" t="str">
        <f>'Hoạt động, lịch'!$B21&amp;". "&amp;'Hoạt động, lịch'!$C21</f>
        <v>P. Pilot Cầu Giấy</v>
      </c>
      <c r="C20" s="26" t="str">
        <f>'Hoạt động, lịch'!$K21</f>
        <v>Tuấn Anh</v>
      </c>
      <c r="D20" s="27">
        <f>'Hoạt động, lịch'!$L21+1</f>
        <v>17</v>
      </c>
      <c r="E20" s="27">
        <f>'Hoạt động, lịch'!$I21</f>
        <v>2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G20">
        <f>'Hoạt động, lịch'!$P21</f>
        <v>0</v>
      </c>
    </row>
    <row r="21" spans="2:33" ht="19.95" customHeight="1" x14ac:dyDescent="0.3">
      <c r="B21" s="25" t="str">
        <f>'Hoạt động, lịch'!$B22&amp;". "&amp;'Hoạt động, lịch'!$C22</f>
        <v>Q. Rollout 4 nhà hàng</v>
      </c>
      <c r="C21" s="26" t="str">
        <f>'Hoạt động, lịch'!$K22</f>
        <v>Tuấn Anh</v>
      </c>
      <c r="D21" s="27">
        <f>'Hoạt động, lịch'!$L22+1</f>
        <v>19</v>
      </c>
      <c r="E21" s="27">
        <f>'Hoạt động, lịch'!$I22</f>
        <v>4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G21">
        <f>'Hoạt động, lịch'!$P22</f>
        <v>0</v>
      </c>
    </row>
    <row r="22" spans="2:33" ht="19.95" customHeight="1" x14ac:dyDescent="0.3">
      <c r="B22" s="25" t="str">
        <f>'Hoạt động, lịch'!$B23&amp;". "&amp;'Hoạt động, lịch'!$C23</f>
        <v>R. Hỗ trợ sau go-live</v>
      </c>
      <c r="C22" s="26" t="str">
        <f>'Hoạt động, lịch'!$K23</f>
        <v>Đối tác RMS</v>
      </c>
      <c r="D22" s="27">
        <f>'Hoạt động, lịch'!$L23+1</f>
        <v>23</v>
      </c>
      <c r="E22" s="27">
        <f>'Hoạt động, lịch'!$I23</f>
        <v>3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G22">
        <f>'Hoạt động, lịch'!$P23</f>
        <v>0</v>
      </c>
    </row>
    <row r="23" spans="2:33" ht="19.95" customHeight="1" x14ac:dyDescent="0.3">
      <c r="B23" s="25" t="str">
        <f>'Hoạt động, lịch'!$B24&amp;". "&amp;'Hoạt động, lịch'!$C24</f>
        <v>S. Nghiệm thu, bàn giao</v>
      </c>
      <c r="C23" s="26" t="str">
        <f>'Hoạt động, lịch'!$K24</f>
        <v>Duy An</v>
      </c>
      <c r="D23" s="27">
        <f>'Hoạt động, lịch'!$L24+1</f>
        <v>26</v>
      </c>
      <c r="E23" s="27">
        <f>'Hoạt động, lịch'!$I24</f>
        <v>1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G23">
        <f>'Hoạt động, lịch'!$P24</f>
        <v>0</v>
      </c>
    </row>
    <row r="24" spans="2:33" ht="19.95" customHeight="1" x14ac:dyDescent="0.3">
      <c r="B24" s="25" t="str">
        <f>'Hoạt động, lịch'!$B25&amp;". "&amp;'Hoạt động, lịch'!$C25</f>
        <v>T. Tổng kết, thanh lý hợp đồng</v>
      </c>
      <c r="C24" s="26" t="str">
        <f>'Hoạt động, lịch'!$K25</f>
        <v>Lê Anh</v>
      </c>
      <c r="D24" s="27">
        <f>'Hoạt động, lịch'!$L25+1</f>
        <v>26</v>
      </c>
      <c r="E24" s="27">
        <f>'Hoạt động, lịch'!$I25</f>
        <v>1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G24">
        <f>'Hoạt động, lịch'!$P25</f>
        <v>0</v>
      </c>
    </row>
    <row r="25" spans="2:33" ht="19.95" customHeight="1" x14ac:dyDescent="0.3">
      <c r="B25" s="25" t="s">
        <v>204</v>
      </c>
      <c r="C25" s="1"/>
      <c r="D25" s="1"/>
      <c r="E25" s="1"/>
      <c r="F25" s="29" t="s">
        <v>205</v>
      </c>
      <c r="G25" s="30"/>
      <c r="H25" s="30"/>
      <c r="I25" s="30"/>
      <c r="J25" s="30"/>
      <c r="K25" s="29" t="s">
        <v>206</v>
      </c>
      <c r="L25" s="30"/>
      <c r="M25" s="29" t="s">
        <v>207</v>
      </c>
      <c r="N25" s="30"/>
      <c r="O25" s="30"/>
      <c r="P25" s="30"/>
      <c r="Q25" s="30"/>
      <c r="R25" s="30"/>
      <c r="S25" s="30"/>
      <c r="T25" s="29" t="s">
        <v>208</v>
      </c>
      <c r="U25" s="29" t="s">
        <v>209</v>
      </c>
      <c r="V25" s="29" t="s">
        <v>210</v>
      </c>
      <c r="W25" s="30"/>
      <c r="X25" s="30"/>
      <c r="Y25" s="30"/>
      <c r="Z25" s="30"/>
      <c r="AA25" s="29" t="s">
        <v>211</v>
      </c>
      <c r="AB25" s="30"/>
      <c r="AC25" s="30"/>
      <c r="AD25" s="30"/>
      <c r="AE25" s="29" t="s">
        <v>212</v>
      </c>
    </row>
    <row r="26" spans="2:33" ht="18" customHeight="1" x14ac:dyDescent="0.3">
      <c r="B26" s="31" t="s">
        <v>213</v>
      </c>
      <c r="F26" s="32">
        <f t="shared" ref="F26:AE26" si="0">SUMPRODUCT((F$4&gt;=$D$5:$D$24)*(F$4&lt;=$D$5:$D$24+$E$5:$E$24-1))</f>
        <v>1</v>
      </c>
      <c r="G26" s="32">
        <f t="shared" si="0"/>
        <v>1</v>
      </c>
      <c r="H26" s="32">
        <f t="shared" si="0"/>
        <v>1</v>
      </c>
      <c r="I26" s="32">
        <f t="shared" si="0"/>
        <v>1</v>
      </c>
      <c r="J26" s="32">
        <f t="shared" si="0"/>
        <v>1</v>
      </c>
      <c r="K26" s="32">
        <f t="shared" si="0"/>
        <v>1</v>
      </c>
      <c r="L26" s="32">
        <f t="shared" si="0"/>
        <v>2</v>
      </c>
      <c r="M26" s="32">
        <f t="shared" si="0"/>
        <v>2</v>
      </c>
      <c r="N26" s="32">
        <f t="shared" si="0"/>
        <v>5</v>
      </c>
      <c r="O26" s="32">
        <f t="shared" si="0"/>
        <v>5</v>
      </c>
      <c r="P26" s="32">
        <f t="shared" si="0"/>
        <v>5</v>
      </c>
      <c r="Q26" s="32">
        <f t="shared" si="0"/>
        <v>6</v>
      </c>
      <c r="R26" s="32">
        <f t="shared" si="0"/>
        <v>5</v>
      </c>
      <c r="S26" s="32">
        <f t="shared" si="0"/>
        <v>4</v>
      </c>
      <c r="T26" s="32">
        <f t="shared" si="0"/>
        <v>4</v>
      </c>
      <c r="U26" s="32">
        <f t="shared" si="0"/>
        <v>3</v>
      </c>
      <c r="V26" s="32">
        <f t="shared" si="0"/>
        <v>3</v>
      </c>
      <c r="W26" s="32">
        <f t="shared" si="0"/>
        <v>2</v>
      </c>
      <c r="X26" s="32">
        <f t="shared" si="0"/>
        <v>2</v>
      </c>
      <c r="Y26" s="32">
        <f t="shared" si="0"/>
        <v>2</v>
      </c>
      <c r="Z26" s="32">
        <f t="shared" si="0"/>
        <v>1</v>
      </c>
      <c r="AA26" s="32">
        <f t="shared" si="0"/>
        <v>1</v>
      </c>
      <c r="AB26" s="32">
        <f t="shared" si="0"/>
        <v>1</v>
      </c>
      <c r="AC26" s="32">
        <f t="shared" si="0"/>
        <v>1</v>
      </c>
      <c r="AD26" s="32">
        <f t="shared" si="0"/>
        <v>1</v>
      </c>
      <c r="AE26" s="32">
        <f t="shared" si="0"/>
        <v>2</v>
      </c>
    </row>
    <row r="27" spans="2:33" ht="18" customHeight="1" x14ac:dyDescent="0.3">
      <c r="B27" s="33" t="s">
        <v>214</v>
      </c>
      <c r="F27" s="34"/>
      <c r="G27" s="35" t="s">
        <v>215</v>
      </c>
      <c r="L27" s="36"/>
      <c r="M27" s="35" t="s">
        <v>216</v>
      </c>
      <c r="R27" s="37"/>
      <c r="S27" s="35" t="s">
        <v>217</v>
      </c>
      <c r="X27" s="38"/>
      <c r="Y27" s="35" t="s">
        <v>218</v>
      </c>
    </row>
    <row r="29" spans="2:33" ht="18" customHeight="1" x14ac:dyDescent="0.3">
      <c r="B29" s="35" t="s">
        <v>219</v>
      </c>
    </row>
    <row r="30" spans="2:33" ht="18" customHeight="1" x14ac:dyDescent="0.3">
      <c r="B30" s="35" t="str">
        <f>"Critical Path: Start → A → B → C → E → L → M → P → Q → R → S/T → End = "&amp;'Hoạt động, lịch'!$D$29&amp;" tuần · P(hoàn thành ≤ "&amp;'Hoạt động, lịch'!$D$32&amp;" tuần) = "&amp;TEXT('Hoạt động, lịch'!$D$33,"0%")&amp;" (PERT)"</f>
        <v>Critical Path: Start → A → B → C → E → L → M → P → Q → R → S/T → End = 26 tuần · P(hoàn thành ≤ 26 tuần) = 50% (PERT)</v>
      </c>
    </row>
  </sheetData>
  <mergeCells count="4">
    <mergeCell ref="D3:D4"/>
    <mergeCell ref="C3:C4"/>
    <mergeCell ref="B3:B4"/>
    <mergeCell ref="E3:E4"/>
  </mergeCells>
  <conditionalFormatting sqref="B5:B24">
    <cfRule type="expression" dxfId="8" priority="4">
      <formula>ABS($AG5)&lt;0.0001</formula>
    </cfRule>
  </conditionalFormatting>
  <conditionalFormatting sqref="F5:AE24">
    <cfRule type="expression" dxfId="7" priority="1" stopIfTrue="1">
      <formula>AND(AND(F$4&gt;=$D5,F$4&lt;=$D5+$E5-1),ABS($AG5)&lt;0.0001)</formula>
    </cfRule>
    <cfRule type="expression" dxfId="6" priority="2" stopIfTrue="1">
      <formula>AND(F$4&gt;=$D5,F$4&lt;=$D5+$E5-1)</formula>
    </cfRule>
    <cfRule type="expression" dxfId="5" priority="3" stopIfTrue="1">
      <formula>AND(F$4&gt;$D5+$E5-1,F$4&lt;=$D5+$E5-1+$AG5)</formula>
    </cfRule>
  </conditionalFormatting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  <pageSetUpPr fitToPage="1"/>
  </sheetPr>
  <dimension ref="A1:I22"/>
  <sheetViews>
    <sheetView showGridLines="0" workbookViewId="0"/>
  </sheetViews>
  <sheetFormatPr defaultRowHeight="14.4" x14ac:dyDescent="0.3"/>
  <cols>
    <col min="1" max="1" width="2.6640625" style="3" customWidth="1"/>
    <col min="2" max="2" width="6" style="3" customWidth="1"/>
    <col min="3" max="3" width="44" style="3" customWidth="1"/>
    <col min="4" max="4" width="12" style="3" customWidth="1"/>
    <col min="5" max="5" width="10" style="3" customWidth="1"/>
    <col min="6" max="6" width="12" style="3" customWidth="1"/>
    <col min="7" max="7" width="11" style="3" customWidth="1"/>
    <col min="8" max="8" width="30" style="3" customWidth="1"/>
    <col min="9" max="9" width="70" style="3" customWidth="1"/>
  </cols>
  <sheetData>
    <row r="1" spans="2:9" ht="42" customHeight="1" x14ac:dyDescent="0.3">
      <c r="B1" s="4" t="s">
        <v>220</v>
      </c>
    </row>
    <row r="2" spans="2:9" ht="21" customHeight="1" x14ac:dyDescent="0.3">
      <c r="B2" s="5" t="s">
        <v>221</v>
      </c>
    </row>
    <row r="3" spans="2:9" ht="30" customHeight="1" x14ac:dyDescent="0.3">
      <c r="B3" s="90" t="s">
        <v>222</v>
      </c>
      <c r="C3" s="90" t="s">
        <v>223</v>
      </c>
      <c r="D3" s="90" t="s">
        <v>224</v>
      </c>
      <c r="E3" s="90" t="s">
        <v>225</v>
      </c>
      <c r="F3" s="90" t="s">
        <v>226</v>
      </c>
      <c r="G3" s="90" t="s">
        <v>227</v>
      </c>
      <c r="H3" s="90" t="s">
        <v>228</v>
      </c>
      <c r="I3" s="90" t="s">
        <v>229</v>
      </c>
    </row>
    <row r="4" spans="2:9" ht="12" customHeight="1" x14ac:dyDescent="0.3">
      <c r="B4" s="91"/>
      <c r="C4" s="91"/>
      <c r="D4" s="91"/>
      <c r="E4" s="91"/>
      <c r="F4" s="91"/>
      <c r="G4" s="91"/>
      <c r="H4" s="91"/>
      <c r="I4" s="91"/>
    </row>
    <row r="5" spans="2:9" ht="22.05" customHeight="1" x14ac:dyDescent="0.3">
      <c r="B5" s="39" t="s">
        <v>230</v>
      </c>
      <c r="C5" s="40" t="s">
        <v>231</v>
      </c>
      <c r="D5" s="41">
        <v>2</v>
      </c>
      <c r="E5" s="42">
        <f>SUMIFS('Chi phí'!$G:$G,'Chi phí'!$F:$F,$B5,'Chi phí'!$E:$E,"Nhân sự")</f>
        <v>180</v>
      </c>
      <c r="F5" s="43">
        <f>E5/22</f>
        <v>8.1818181818181817</v>
      </c>
      <c r="G5" s="44">
        <f>D5*E5</f>
        <v>360</v>
      </c>
      <c r="H5" s="40" t="s">
        <v>232</v>
      </c>
      <c r="I5" s="40" t="s">
        <v>233</v>
      </c>
    </row>
    <row r="6" spans="2:9" ht="22.05" customHeight="1" x14ac:dyDescent="0.3">
      <c r="B6" s="39" t="s">
        <v>234</v>
      </c>
      <c r="C6" s="40" t="s">
        <v>235</v>
      </c>
      <c r="D6" s="41">
        <v>1.5</v>
      </c>
      <c r="E6" s="42">
        <f>SUMIFS('Chi phí'!$G:$G,'Chi phí'!$F:$F,$B6,'Chi phí'!$E:$E,"Nhân sự")</f>
        <v>40</v>
      </c>
      <c r="F6" s="43">
        <f>E6/22</f>
        <v>1.8181818181818181</v>
      </c>
      <c r="G6" s="44">
        <f>D6*E6</f>
        <v>60</v>
      </c>
      <c r="H6" s="40" t="s">
        <v>236</v>
      </c>
      <c r="I6" s="40" t="s">
        <v>237</v>
      </c>
    </row>
    <row r="7" spans="2:9" ht="22.05" customHeight="1" x14ac:dyDescent="0.3">
      <c r="B7" s="39" t="s">
        <v>238</v>
      </c>
      <c r="C7" s="40" t="s">
        <v>239</v>
      </c>
      <c r="D7" s="41">
        <v>1.5</v>
      </c>
      <c r="E7" s="42">
        <f>SUMIFS('Chi phí'!$G:$G,'Chi phí'!$F:$F,$B7,'Chi phí'!$E:$E,"Nhân sự")</f>
        <v>40</v>
      </c>
      <c r="F7" s="43">
        <f>E7/22</f>
        <v>1.8181818181818181</v>
      </c>
      <c r="G7" s="44">
        <f>D7*E7</f>
        <v>60</v>
      </c>
      <c r="H7" s="40" t="s">
        <v>240</v>
      </c>
      <c r="I7" s="40" t="s">
        <v>241</v>
      </c>
    </row>
    <row r="8" spans="2:9" ht="22.05" customHeight="1" x14ac:dyDescent="0.3">
      <c r="B8" s="39" t="s">
        <v>242</v>
      </c>
      <c r="C8" s="40" t="s">
        <v>243</v>
      </c>
      <c r="D8" s="41">
        <v>1</v>
      </c>
      <c r="E8" s="42">
        <f>SUMIFS('Chi phí'!$G:$G,'Chi phí'!$F:$F,$B8,'Chi phí'!$E:$E,"Nhân sự")</f>
        <v>160</v>
      </c>
      <c r="F8" s="43">
        <f>E8/22</f>
        <v>7.2727272727272725</v>
      </c>
      <c r="G8" s="44">
        <f>D8*E8</f>
        <v>160</v>
      </c>
      <c r="H8" s="40" t="s">
        <v>244</v>
      </c>
      <c r="I8" s="40" t="s">
        <v>245</v>
      </c>
    </row>
    <row r="9" spans="2:9" x14ac:dyDescent="0.3">
      <c r="C9" s="45" t="s">
        <v>246</v>
      </c>
      <c r="E9" s="46">
        <f>SUM(E5:E8)</f>
        <v>420</v>
      </c>
      <c r="F9" s="47">
        <f>SUM(F5:F8)</f>
        <v>19.09090909090909</v>
      </c>
      <c r="G9" s="48">
        <f>SUM(G5:G8)</f>
        <v>640</v>
      </c>
    </row>
    <row r="10" spans="2:9" x14ac:dyDescent="0.3">
      <c r="B10" s="49" t="s">
        <v>247</v>
      </c>
    </row>
    <row r="12" spans="2:9" x14ac:dyDescent="0.3">
      <c r="B12" s="50" t="s">
        <v>248</v>
      </c>
    </row>
    <row r="13" spans="2:9" x14ac:dyDescent="0.3">
      <c r="C13" s="90" t="s">
        <v>249</v>
      </c>
      <c r="D13" s="90" t="s">
        <v>250</v>
      </c>
      <c r="E13" s="90" t="s">
        <v>251</v>
      </c>
      <c r="F13" s="90" t="s">
        <v>227</v>
      </c>
    </row>
    <row r="14" spans="2:9" x14ac:dyDescent="0.3">
      <c r="C14" s="91"/>
      <c r="D14" s="91"/>
      <c r="E14" s="91"/>
      <c r="F14" s="91"/>
    </row>
    <row r="15" spans="2:9" x14ac:dyDescent="0.3">
      <c r="C15" s="40" t="s">
        <v>252</v>
      </c>
      <c r="D15" s="51">
        <v>2</v>
      </c>
      <c r="E15" s="41">
        <v>12</v>
      </c>
      <c r="F15" s="44">
        <f t="shared" ref="F15:F21" si="0">D15*E15</f>
        <v>24</v>
      </c>
    </row>
    <row r="16" spans="2:9" x14ac:dyDescent="0.3">
      <c r="C16" s="40" t="s">
        <v>253</v>
      </c>
      <c r="D16" s="51">
        <v>6</v>
      </c>
      <c r="E16" s="41">
        <v>4.5</v>
      </c>
      <c r="F16" s="44">
        <f t="shared" si="0"/>
        <v>27</v>
      </c>
    </row>
    <row r="17" spans="3:6" x14ac:dyDescent="0.3">
      <c r="C17" s="40" t="s">
        <v>254</v>
      </c>
      <c r="D17" s="51">
        <v>2</v>
      </c>
      <c r="E17" s="41">
        <v>8</v>
      </c>
      <c r="F17" s="44">
        <f t="shared" si="0"/>
        <v>16</v>
      </c>
    </row>
    <row r="18" spans="3:6" x14ac:dyDescent="0.3">
      <c r="C18" s="40" t="s">
        <v>255</v>
      </c>
      <c r="D18" s="51">
        <v>3</v>
      </c>
      <c r="E18" s="41">
        <v>3</v>
      </c>
      <c r="F18" s="44">
        <f t="shared" si="0"/>
        <v>9</v>
      </c>
    </row>
    <row r="19" spans="3:6" x14ac:dyDescent="0.3">
      <c r="C19" s="40" t="s">
        <v>256</v>
      </c>
      <c r="D19" s="51">
        <v>3</v>
      </c>
      <c r="E19" s="41">
        <v>2.5</v>
      </c>
      <c r="F19" s="44">
        <f t="shared" si="0"/>
        <v>7.5</v>
      </c>
    </row>
    <row r="20" spans="3:6" x14ac:dyDescent="0.3">
      <c r="C20" s="40" t="s">
        <v>257</v>
      </c>
      <c r="D20" s="51">
        <v>1</v>
      </c>
      <c r="E20" s="41">
        <v>5</v>
      </c>
      <c r="F20" s="44">
        <f t="shared" si="0"/>
        <v>5</v>
      </c>
    </row>
    <row r="21" spans="3:6" x14ac:dyDescent="0.3">
      <c r="C21" s="40" t="s">
        <v>258</v>
      </c>
      <c r="D21" s="51">
        <v>1</v>
      </c>
      <c r="E21" s="41">
        <v>3.5</v>
      </c>
      <c r="F21" s="44">
        <f t="shared" si="0"/>
        <v>3.5</v>
      </c>
    </row>
    <row r="22" spans="3:6" x14ac:dyDescent="0.3">
      <c r="C22" s="45" t="s">
        <v>259</v>
      </c>
      <c r="F22" s="48">
        <f>SUM(F15:F21)</f>
        <v>92</v>
      </c>
    </row>
  </sheetData>
  <mergeCells count="12">
    <mergeCell ref="H3:H4"/>
    <mergeCell ref="F3:F4"/>
    <mergeCell ref="D3:D4"/>
    <mergeCell ref="I3:I4"/>
    <mergeCell ref="E13:E14"/>
    <mergeCell ref="F13:F14"/>
    <mergeCell ref="C3:C4"/>
    <mergeCell ref="B3:B4"/>
    <mergeCell ref="G3:G4"/>
    <mergeCell ref="E3:E4"/>
    <mergeCell ref="D13:D14"/>
    <mergeCell ref="C13:C14"/>
  </mergeCells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/>
    <pageSetUpPr fitToPage="1"/>
  </sheetPr>
  <dimension ref="A1:R119"/>
  <sheetViews>
    <sheetView showGridLines="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.6640625" style="3" customWidth="1"/>
    <col min="2" max="2" width="7" style="3" customWidth="1"/>
    <col min="3" max="3" width="5" style="3" customWidth="1"/>
    <col min="4" max="4" width="50" style="3" customWidth="1"/>
    <col min="5" max="5" width="16" style="3" customWidth="1"/>
    <col min="6" max="7" width="9" style="3" customWidth="1"/>
    <col min="8" max="8" width="16" style="3" customWidth="1"/>
    <col min="9" max="9" width="9" style="3" customWidth="1"/>
    <col min="10" max="10" width="11" style="3" customWidth="1"/>
    <col min="11" max="12" width="7" style="3" customWidth="1"/>
    <col min="13" max="18" width="9" style="3" customWidth="1"/>
  </cols>
  <sheetData>
    <row r="1" spans="2:18" ht="42" customHeight="1" x14ac:dyDescent="0.3">
      <c r="B1" s="4" t="s">
        <v>260</v>
      </c>
    </row>
    <row r="2" spans="2:18" ht="21" customHeight="1" x14ac:dyDescent="0.3">
      <c r="B2" s="5" t="s">
        <v>261</v>
      </c>
    </row>
    <row r="3" spans="2:18" ht="30" customHeight="1" x14ac:dyDescent="0.3">
      <c r="B3" s="90" t="s">
        <v>162</v>
      </c>
      <c r="C3" s="90" t="s">
        <v>6</v>
      </c>
      <c r="D3" s="90" t="s">
        <v>262</v>
      </c>
      <c r="E3" s="90" t="s">
        <v>263</v>
      </c>
      <c r="F3" s="90" t="s">
        <v>223</v>
      </c>
      <c r="G3" s="90" t="s">
        <v>250</v>
      </c>
      <c r="H3" s="90" t="s">
        <v>264</v>
      </c>
      <c r="I3" s="90" t="s">
        <v>251</v>
      </c>
      <c r="J3" s="90" t="s">
        <v>227</v>
      </c>
      <c r="K3" s="90" t="s">
        <v>265</v>
      </c>
      <c r="L3" s="90" t="s">
        <v>266</v>
      </c>
      <c r="M3" s="90" t="s">
        <v>267</v>
      </c>
      <c r="N3" s="91"/>
      <c r="O3" s="91"/>
      <c r="P3" s="91"/>
      <c r="Q3" s="91"/>
      <c r="R3" s="91"/>
    </row>
    <row r="4" spans="2:18" ht="16.05" customHeight="1" x14ac:dyDescent="0.3"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52">
        <v>3</v>
      </c>
      <c r="N4" s="52">
        <v>4</v>
      </c>
      <c r="O4" s="52">
        <v>5</v>
      </c>
      <c r="P4" s="52">
        <v>6</v>
      </c>
      <c r="Q4" s="52">
        <v>7</v>
      </c>
      <c r="R4" s="52">
        <v>8</v>
      </c>
    </row>
    <row r="5" spans="2:18" ht="18" customHeight="1" x14ac:dyDescent="0.3">
      <c r="B5" s="13" t="s">
        <v>21</v>
      </c>
      <c r="C5" s="13" t="str">
        <f>IFERROR(INDEX(WBS!$F$5:$F$44,MATCH($B5,WBS!$B$5:$B$44,0)),"")</f>
        <v>–</v>
      </c>
      <c r="D5" s="40" t="s">
        <v>268</v>
      </c>
      <c r="E5" s="40" t="s">
        <v>269</v>
      </c>
      <c r="F5" s="13" t="s">
        <v>238</v>
      </c>
      <c r="G5" s="51">
        <v>2</v>
      </c>
      <c r="H5" s="40" t="s">
        <v>270</v>
      </c>
      <c r="I5" s="53">
        <f>INDEX('Nguồn lực'!$D$5:$D$8,MATCH($F5,'Nguồn lực'!$B$5:$B$8,0))</f>
        <v>1.5</v>
      </c>
      <c r="J5" s="44">
        <f t="shared" ref="J5:J36" si="0">G5*I5</f>
        <v>3</v>
      </c>
      <c r="K5" s="54">
        <v>1</v>
      </c>
      <c r="L5" s="54">
        <v>1</v>
      </c>
      <c r="M5" s="44">
        <f>IF($J5=0,0,$J5*SUMPRODUCT(('Cost baseline'!$C$4:$AB$4&gt;=$K5)*('Cost baseline'!$C$4:$AB$4&lt;=$L5)*('Cost baseline'!$C$5:$AB$5=M$4))/($L5-$K5+1))</f>
        <v>3</v>
      </c>
      <c r="N5" s="44">
        <f>IF($J5=0,0,$J5*SUMPRODUCT(('Cost baseline'!$C$4:$AB$4&gt;=$K5)*('Cost baseline'!$C$4:$AB$4&lt;=$L5)*('Cost baseline'!$C$5:$AB$5=N$4))/($L5-$K5+1))</f>
        <v>0</v>
      </c>
      <c r="O5" s="44">
        <f>IF($J5=0,0,$J5*SUMPRODUCT(('Cost baseline'!$C$4:$AB$4&gt;=$K5)*('Cost baseline'!$C$4:$AB$4&lt;=$L5)*('Cost baseline'!$C$5:$AB$5=O$4))/($L5-$K5+1))</f>
        <v>0</v>
      </c>
      <c r="P5" s="44">
        <f>IF($J5=0,0,$J5*SUMPRODUCT(('Cost baseline'!$C$4:$AB$4&gt;=$K5)*('Cost baseline'!$C$4:$AB$4&lt;=$L5)*('Cost baseline'!$C$5:$AB$5=P$4))/($L5-$K5+1))</f>
        <v>0</v>
      </c>
      <c r="Q5" s="44">
        <f>IF($J5=0,0,$J5*SUMPRODUCT(('Cost baseline'!$C$4:$AB$4&gt;=$K5)*('Cost baseline'!$C$4:$AB$4&lt;=$L5)*('Cost baseline'!$C$5:$AB$5=Q$4))/($L5-$K5+1))</f>
        <v>0</v>
      </c>
      <c r="R5" s="44">
        <f>IF($J5=0,0,$J5*SUMPRODUCT(('Cost baseline'!$C$4:$AB$4&gt;=$K5)*('Cost baseline'!$C$4:$AB$4&lt;=$L5)*('Cost baseline'!$C$5:$AB$5=R$4))/($L5-$K5+1))</f>
        <v>0</v>
      </c>
    </row>
    <row r="6" spans="2:18" ht="18" customHeight="1" x14ac:dyDescent="0.3">
      <c r="B6" s="13" t="s">
        <v>21</v>
      </c>
      <c r="C6" s="13" t="str">
        <f>IFERROR(INDEX(WBS!$F$5:$F$44,MATCH($B6,WBS!$B$5:$B$44,0)),"")</f>
        <v>–</v>
      </c>
      <c r="D6" s="40" t="s">
        <v>271</v>
      </c>
      <c r="E6" s="40" t="s">
        <v>269</v>
      </c>
      <c r="F6" s="13" t="s">
        <v>242</v>
      </c>
      <c r="G6" s="51">
        <v>4</v>
      </c>
      <c r="H6" s="40" t="s">
        <v>270</v>
      </c>
      <c r="I6" s="53">
        <f>INDEX('Nguồn lực'!$D$5:$D$8,MATCH($F6,'Nguồn lực'!$B$5:$B$8,0))</f>
        <v>1</v>
      </c>
      <c r="J6" s="44">
        <f t="shared" si="0"/>
        <v>4</v>
      </c>
      <c r="K6" s="54">
        <v>1</v>
      </c>
      <c r="L6" s="54">
        <v>1</v>
      </c>
      <c r="M6" s="44">
        <f>IF($J6=0,0,$J6*SUMPRODUCT(('Cost baseline'!$C$4:$AB$4&gt;=$K6)*('Cost baseline'!$C$4:$AB$4&lt;=$L6)*('Cost baseline'!$C$5:$AB$5=M$4))/($L6-$K6+1))</f>
        <v>4</v>
      </c>
      <c r="N6" s="44">
        <f>IF($J6=0,0,$J6*SUMPRODUCT(('Cost baseline'!$C$4:$AB$4&gt;=$K6)*('Cost baseline'!$C$4:$AB$4&lt;=$L6)*('Cost baseline'!$C$5:$AB$5=N$4))/($L6-$K6+1))</f>
        <v>0</v>
      </c>
      <c r="O6" s="44">
        <f>IF($J6=0,0,$J6*SUMPRODUCT(('Cost baseline'!$C$4:$AB$4&gt;=$K6)*('Cost baseline'!$C$4:$AB$4&lt;=$L6)*('Cost baseline'!$C$5:$AB$5=O$4))/($L6-$K6+1))</f>
        <v>0</v>
      </c>
      <c r="P6" s="44">
        <f>IF($J6=0,0,$J6*SUMPRODUCT(('Cost baseline'!$C$4:$AB$4&gt;=$K6)*('Cost baseline'!$C$4:$AB$4&lt;=$L6)*('Cost baseline'!$C$5:$AB$5=P$4))/($L6-$K6+1))</f>
        <v>0</v>
      </c>
      <c r="Q6" s="44">
        <f>IF($J6=0,0,$J6*SUMPRODUCT(('Cost baseline'!$C$4:$AB$4&gt;=$K6)*('Cost baseline'!$C$4:$AB$4&lt;=$L6)*('Cost baseline'!$C$5:$AB$5=Q$4))/($L6-$K6+1))</f>
        <v>0</v>
      </c>
      <c r="R6" s="44">
        <f>IF($J6=0,0,$J6*SUMPRODUCT(('Cost baseline'!$C$4:$AB$4&gt;=$K6)*('Cost baseline'!$C$4:$AB$4&lt;=$L6)*('Cost baseline'!$C$5:$AB$5=R$4))/($L6-$K6+1))</f>
        <v>0</v>
      </c>
    </row>
    <row r="7" spans="2:18" ht="18" customHeight="1" x14ac:dyDescent="0.3">
      <c r="B7" s="13" t="s">
        <v>25</v>
      </c>
      <c r="C7" s="13" t="str">
        <f>IFERROR(INDEX(WBS!$F$5:$F$44,MATCH($B7,WBS!$B$5:$B$44,0)),"")</f>
        <v>–</v>
      </c>
      <c r="D7" s="40" t="s">
        <v>272</v>
      </c>
      <c r="E7" s="40" t="s">
        <v>269</v>
      </c>
      <c r="F7" s="13" t="s">
        <v>238</v>
      </c>
      <c r="G7" s="51">
        <v>8</v>
      </c>
      <c r="H7" s="40" t="s">
        <v>270</v>
      </c>
      <c r="I7" s="53">
        <f>INDEX('Nguồn lực'!$D$5:$D$8,MATCH($F7,'Nguồn lực'!$B$5:$B$8,0))</f>
        <v>1.5</v>
      </c>
      <c r="J7" s="44">
        <f t="shared" si="0"/>
        <v>12</v>
      </c>
      <c r="K7" s="54">
        <v>1</v>
      </c>
      <c r="L7" s="54">
        <v>6</v>
      </c>
      <c r="M7" s="44">
        <f>IF($J7=0,0,$J7*SUMPRODUCT(('Cost baseline'!$C$4:$AB$4&gt;=$K7)*('Cost baseline'!$C$4:$AB$4&lt;=$L7)*('Cost baseline'!$C$5:$AB$5=M$4))/($L7-$K7+1))</f>
        <v>10</v>
      </c>
      <c r="N7" s="44">
        <f>IF($J7=0,0,$J7*SUMPRODUCT(('Cost baseline'!$C$4:$AB$4&gt;=$K7)*('Cost baseline'!$C$4:$AB$4&lt;=$L7)*('Cost baseline'!$C$5:$AB$5=N$4))/($L7-$K7+1))</f>
        <v>2</v>
      </c>
      <c r="O7" s="44">
        <f>IF($J7=0,0,$J7*SUMPRODUCT(('Cost baseline'!$C$4:$AB$4&gt;=$K7)*('Cost baseline'!$C$4:$AB$4&lt;=$L7)*('Cost baseline'!$C$5:$AB$5=O$4))/($L7-$K7+1))</f>
        <v>0</v>
      </c>
      <c r="P7" s="44">
        <f>IF($J7=0,0,$J7*SUMPRODUCT(('Cost baseline'!$C$4:$AB$4&gt;=$K7)*('Cost baseline'!$C$4:$AB$4&lt;=$L7)*('Cost baseline'!$C$5:$AB$5=P$4))/($L7-$K7+1))</f>
        <v>0</v>
      </c>
      <c r="Q7" s="44">
        <f>IF($J7=0,0,$J7*SUMPRODUCT(('Cost baseline'!$C$4:$AB$4&gt;=$K7)*('Cost baseline'!$C$4:$AB$4&lt;=$L7)*('Cost baseline'!$C$5:$AB$5=Q$4))/($L7-$K7+1))</f>
        <v>0</v>
      </c>
      <c r="R7" s="44">
        <f>IF($J7=0,0,$J7*SUMPRODUCT(('Cost baseline'!$C$4:$AB$4&gt;=$K7)*('Cost baseline'!$C$4:$AB$4&lt;=$L7)*('Cost baseline'!$C$5:$AB$5=R$4))/($L7-$K7+1))</f>
        <v>0</v>
      </c>
    </row>
    <row r="8" spans="2:18" ht="18" customHeight="1" x14ac:dyDescent="0.3">
      <c r="B8" s="13" t="s">
        <v>25</v>
      </c>
      <c r="C8" s="13" t="str">
        <f>IFERROR(INDEX(WBS!$F$5:$F$44,MATCH($B8,WBS!$B$5:$B$44,0)),"")</f>
        <v>–</v>
      </c>
      <c r="D8" s="40" t="s">
        <v>273</v>
      </c>
      <c r="E8" s="40" t="s">
        <v>269</v>
      </c>
      <c r="F8" s="13" t="s">
        <v>242</v>
      </c>
      <c r="G8" s="51">
        <v>10</v>
      </c>
      <c r="H8" s="40" t="s">
        <v>270</v>
      </c>
      <c r="I8" s="53">
        <f>INDEX('Nguồn lực'!$D$5:$D$8,MATCH($F8,'Nguồn lực'!$B$5:$B$8,0))</f>
        <v>1</v>
      </c>
      <c r="J8" s="44">
        <f t="shared" si="0"/>
        <v>10</v>
      </c>
      <c r="K8" s="54">
        <v>1</v>
      </c>
      <c r="L8" s="54">
        <v>6</v>
      </c>
      <c r="M8" s="44">
        <f>IF($J8=0,0,$J8*SUMPRODUCT(('Cost baseline'!$C$4:$AB$4&gt;=$K8)*('Cost baseline'!$C$4:$AB$4&lt;=$L8)*('Cost baseline'!$C$5:$AB$5=M$4))/($L8-$K8+1))</f>
        <v>8.3333333333333339</v>
      </c>
      <c r="N8" s="44">
        <f>IF($J8=0,0,$J8*SUMPRODUCT(('Cost baseline'!$C$4:$AB$4&gt;=$K8)*('Cost baseline'!$C$4:$AB$4&lt;=$L8)*('Cost baseline'!$C$5:$AB$5=N$4))/($L8-$K8+1))</f>
        <v>1.6666666666666667</v>
      </c>
      <c r="O8" s="44">
        <f>IF($J8=0,0,$J8*SUMPRODUCT(('Cost baseline'!$C$4:$AB$4&gt;=$K8)*('Cost baseline'!$C$4:$AB$4&lt;=$L8)*('Cost baseline'!$C$5:$AB$5=O$4))/($L8-$K8+1))</f>
        <v>0</v>
      </c>
      <c r="P8" s="44">
        <f>IF($J8=0,0,$J8*SUMPRODUCT(('Cost baseline'!$C$4:$AB$4&gt;=$K8)*('Cost baseline'!$C$4:$AB$4&lt;=$L8)*('Cost baseline'!$C$5:$AB$5=P$4))/($L8-$K8+1))</f>
        <v>0</v>
      </c>
      <c r="Q8" s="44">
        <f>IF($J8=0,0,$J8*SUMPRODUCT(('Cost baseline'!$C$4:$AB$4&gt;=$K8)*('Cost baseline'!$C$4:$AB$4&lt;=$L8)*('Cost baseline'!$C$5:$AB$5=Q$4))/($L8-$K8+1))</f>
        <v>0</v>
      </c>
      <c r="R8" s="44">
        <f>IF($J8=0,0,$J8*SUMPRODUCT(('Cost baseline'!$C$4:$AB$4&gt;=$K8)*('Cost baseline'!$C$4:$AB$4&lt;=$L8)*('Cost baseline'!$C$5:$AB$5=R$4))/($L8-$K8+1))</f>
        <v>0</v>
      </c>
    </row>
    <row r="9" spans="2:18" ht="18" customHeight="1" x14ac:dyDescent="0.3">
      <c r="B9" s="13" t="s">
        <v>28</v>
      </c>
      <c r="C9" s="13" t="str">
        <f>IFERROR(INDEX(WBS!$F$5:$F$44,MATCH($B9,WBS!$B$5:$B$44,0)),"")</f>
        <v>–</v>
      </c>
      <c r="D9" s="40" t="s">
        <v>274</v>
      </c>
      <c r="E9" s="40" t="s">
        <v>269</v>
      </c>
      <c r="F9" s="13" t="s">
        <v>238</v>
      </c>
      <c r="G9" s="51">
        <v>3</v>
      </c>
      <c r="H9" s="40" t="s">
        <v>270</v>
      </c>
      <c r="I9" s="53">
        <f>INDEX('Nguồn lực'!$D$5:$D$8,MATCH($F9,'Nguồn lực'!$B$5:$B$8,0))</f>
        <v>1.5</v>
      </c>
      <c r="J9" s="44">
        <f t="shared" si="0"/>
        <v>4.5</v>
      </c>
      <c r="K9" s="54">
        <v>1</v>
      </c>
      <c r="L9" s="54">
        <v>4</v>
      </c>
      <c r="M9" s="44">
        <f>IF($J9=0,0,$J9*SUMPRODUCT(('Cost baseline'!$C$4:$AB$4&gt;=$K9)*('Cost baseline'!$C$4:$AB$4&lt;=$L9)*('Cost baseline'!$C$5:$AB$5=M$4))/($L9-$K9+1))</f>
        <v>4.5</v>
      </c>
      <c r="N9" s="44">
        <f>IF($J9=0,0,$J9*SUMPRODUCT(('Cost baseline'!$C$4:$AB$4&gt;=$K9)*('Cost baseline'!$C$4:$AB$4&lt;=$L9)*('Cost baseline'!$C$5:$AB$5=N$4))/($L9-$K9+1))</f>
        <v>0</v>
      </c>
      <c r="O9" s="44">
        <f>IF($J9=0,0,$J9*SUMPRODUCT(('Cost baseline'!$C$4:$AB$4&gt;=$K9)*('Cost baseline'!$C$4:$AB$4&lt;=$L9)*('Cost baseline'!$C$5:$AB$5=O$4))/($L9-$K9+1))</f>
        <v>0</v>
      </c>
      <c r="P9" s="44">
        <f>IF($J9=0,0,$J9*SUMPRODUCT(('Cost baseline'!$C$4:$AB$4&gt;=$K9)*('Cost baseline'!$C$4:$AB$4&lt;=$L9)*('Cost baseline'!$C$5:$AB$5=P$4))/($L9-$K9+1))</f>
        <v>0</v>
      </c>
      <c r="Q9" s="44">
        <f>IF($J9=0,0,$J9*SUMPRODUCT(('Cost baseline'!$C$4:$AB$4&gt;=$K9)*('Cost baseline'!$C$4:$AB$4&lt;=$L9)*('Cost baseline'!$C$5:$AB$5=Q$4))/($L9-$K9+1))</f>
        <v>0</v>
      </c>
      <c r="R9" s="44">
        <f>IF($J9=0,0,$J9*SUMPRODUCT(('Cost baseline'!$C$4:$AB$4&gt;=$K9)*('Cost baseline'!$C$4:$AB$4&lt;=$L9)*('Cost baseline'!$C$5:$AB$5=R$4))/($L9-$K9+1))</f>
        <v>0</v>
      </c>
    </row>
    <row r="10" spans="2:18" ht="18" customHeight="1" x14ac:dyDescent="0.3">
      <c r="B10" s="13" t="s">
        <v>28</v>
      </c>
      <c r="C10" s="13" t="str">
        <f>IFERROR(INDEX(WBS!$F$5:$F$44,MATCH($B10,WBS!$B$5:$B$44,0)),"")</f>
        <v>–</v>
      </c>
      <c r="D10" s="40" t="s">
        <v>275</v>
      </c>
      <c r="E10" s="40" t="s">
        <v>269</v>
      </c>
      <c r="F10" s="13" t="s">
        <v>242</v>
      </c>
      <c r="G10" s="51">
        <v>6</v>
      </c>
      <c r="H10" s="40" t="s">
        <v>270</v>
      </c>
      <c r="I10" s="53">
        <f>INDEX('Nguồn lực'!$D$5:$D$8,MATCH($F10,'Nguồn lực'!$B$5:$B$8,0))</f>
        <v>1</v>
      </c>
      <c r="J10" s="44">
        <f t="shared" si="0"/>
        <v>6</v>
      </c>
      <c r="K10" s="54">
        <v>1</v>
      </c>
      <c r="L10" s="54">
        <v>4</v>
      </c>
      <c r="M10" s="44">
        <f>IF($J10=0,0,$J10*SUMPRODUCT(('Cost baseline'!$C$4:$AB$4&gt;=$K10)*('Cost baseline'!$C$4:$AB$4&lt;=$L10)*('Cost baseline'!$C$5:$AB$5=M$4))/($L10-$K10+1))</f>
        <v>6</v>
      </c>
      <c r="N10" s="44">
        <f>IF($J10=0,0,$J10*SUMPRODUCT(('Cost baseline'!$C$4:$AB$4&gt;=$K10)*('Cost baseline'!$C$4:$AB$4&lt;=$L10)*('Cost baseline'!$C$5:$AB$5=N$4))/($L10-$K10+1))</f>
        <v>0</v>
      </c>
      <c r="O10" s="44">
        <f>IF($J10=0,0,$J10*SUMPRODUCT(('Cost baseline'!$C$4:$AB$4&gt;=$K10)*('Cost baseline'!$C$4:$AB$4&lt;=$L10)*('Cost baseline'!$C$5:$AB$5=O$4))/($L10-$K10+1))</f>
        <v>0</v>
      </c>
      <c r="P10" s="44">
        <f>IF($J10=0,0,$J10*SUMPRODUCT(('Cost baseline'!$C$4:$AB$4&gt;=$K10)*('Cost baseline'!$C$4:$AB$4&lt;=$L10)*('Cost baseline'!$C$5:$AB$5=P$4))/($L10-$K10+1))</f>
        <v>0</v>
      </c>
      <c r="Q10" s="44">
        <f>IF($J10=0,0,$J10*SUMPRODUCT(('Cost baseline'!$C$4:$AB$4&gt;=$K10)*('Cost baseline'!$C$4:$AB$4&lt;=$L10)*('Cost baseline'!$C$5:$AB$5=Q$4))/($L10-$K10+1))</f>
        <v>0</v>
      </c>
      <c r="R10" s="44">
        <f>IF($J10=0,0,$J10*SUMPRODUCT(('Cost baseline'!$C$4:$AB$4&gt;=$K10)*('Cost baseline'!$C$4:$AB$4&lt;=$L10)*('Cost baseline'!$C$5:$AB$5=R$4))/($L10-$K10+1))</f>
        <v>0</v>
      </c>
    </row>
    <row r="11" spans="2:18" ht="18" customHeight="1" x14ac:dyDescent="0.3">
      <c r="B11" s="13" t="s">
        <v>35</v>
      </c>
      <c r="C11" s="13" t="str">
        <f>IFERROR(INDEX(WBS!$F$5:$F$44,MATCH($B11,WBS!$B$5:$B$44,0)),"")</f>
        <v>–</v>
      </c>
      <c r="D11" s="40" t="s">
        <v>276</v>
      </c>
      <c r="E11" s="40" t="s">
        <v>269</v>
      </c>
      <c r="F11" s="13" t="s">
        <v>238</v>
      </c>
      <c r="G11" s="51">
        <v>13</v>
      </c>
      <c r="H11" s="40" t="s">
        <v>270</v>
      </c>
      <c r="I11" s="53">
        <f>INDEX('Nguồn lực'!$D$5:$D$8,MATCH($F11,'Nguồn lực'!$B$5:$B$8,0))</f>
        <v>1.5</v>
      </c>
      <c r="J11" s="44">
        <f t="shared" si="0"/>
        <v>19.5</v>
      </c>
      <c r="K11" s="54">
        <v>1</v>
      </c>
      <c r="L11" s="54">
        <v>26</v>
      </c>
      <c r="M11" s="44">
        <f>IF($J11=0,0,$J11*SUMPRODUCT(('Cost baseline'!$C$4:$AB$4&gt;=$K11)*('Cost baseline'!$C$4:$AB$4&lt;=$L11)*('Cost baseline'!$C$5:$AB$5=M$4))/($L11-$K11+1))</f>
        <v>3.75</v>
      </c>
      <c r="N11" s="44">
        <f>IF($J11=0,0,$J11*SUMPRODUCT(('Cost baseline'!$C$4:$AB$4&gt;=$K11)*('Cost baseline'!$C$4:$AB$4&lt;=$L11)*('Cost baseline'!$C$5:$AB$5=N$4))/($L11-$K11+1))</f>
        <v>3</v>
      </c>
      <c r="O11" s="44">
        <f>IF($J11=0,0,$J11*SUMPRODUCT(('Cost baseline'!$C$4:$AB$4&gt;=$K11)*('Cost baseline'!$C$4:$AB$4&lt;=$L11)*('Cost baseline'!$C$5:$AB$5=O$4))/($L11-$K11+1))</f>
        <v>3</v>
      </c>
      <c r="P11" s="44">
        <f>IF($J11=0,0,$J11*SUMPRODUCT(('Cost baseline'!$C$4:$AB$4&gt;=$K11)*('Cost baseline'!$C$4:$AB$4&lt;=$L11)*('Cost baseline'!$C$5:$AB$5=P$4))/($L11-$K11+1))</f>
        <v>3.75</v>
      </c>
      <c r="Q11" s="44">
        <f>IF($J11=0,0,$J11*SUMPRODUCT(('Cost baseline'!$C$4:$AB$4&gt;=$K11)*('Cost baseline'!$C$4:$AB$4&lt;=$L11)*('Cost baseline'!$C$5:$AB$5=Q$4))/($L11-$K11+1))</f>
        <v>3</v>
      </c>
      <c r="R11" s="44">
        <f>IF($J11=0,0,$J11*SUMPRODUCT(('Cost baseline'!$C$4:$AB$4&gt;=$K11)*('Cost baseline'!$C$4:$AB$4&lt;=$L11)*('Cost baseline'!$C$5:$AB$5=R$4))/($L11-$K11+1))</f>
        <v>3</v>
      </c>
    </row>
    <row r="12" spans="2:18" ht="18" customHeight="1" x14ac:dyDescent="0.3">
      <c r="B12" s="13" t="s">
        <v>35</v>
      </c>
      <c r="C12" s="13" t="str">
        <f>IFERROR(INDEX(WBS!$F$5:$F$44,MATCH($B12,WBS!$B$5:$B$44,0)),"")</f>
        <v>–</v>
      </c>
      <c r="D12" s="40" t="s">
        <v>277</v>
      </c>
      <c r="E12" s="40" t="s">
        <v>269</v>
      </c>
      <c r="F12" s="13" t="s">
        <v>242</v>
      </c>
      <c r="G12" s="51">
        <v>13</v>
      </c>
      <c r="H12" s="40" t="s">
        <v>270</v>
      </c>
      <c r="I12" s="53">
        <f>INDEX('Nguồn lực'!$D$5:$D$8,MATCH($F12,'Nguồn lực'!$B$5:$B$8,0))</f>
        <v>1</v>
      </c>
      <c r="J12" s="44">
        <f t="shared" si="0"/>
        <v>13</v>
      </c>
      <c r="K12" s="54">
        <v>1</v>
      </c>
      <c r="L12" s="54">
        <v>26</v>
      </c>
      <c r="M12" s="44">
        <f>IF($J12=0,0,$J12*SUMPRODUCT(('Cost baseline'!$C$4:$AB$4&gt;=$K12)*('Cost baseline'!$C$4:$AB$4&lt;=$L12)*('Cost baseline'!$C$5:$AB$5=M$4))/($L12-$K12+1))</f>
        <v>2.5</v>
      </c>
      <c r="N12" s="44">
        <f>IF($J12=0,0,$J12*SUMPRODUCT(('Cost baseline'!$C$4:$AB$4&gt;=$K12)*('Cost baseline'!$C$4:$AB$4&lt;=$L12)*('Cost baseline'!$C$5:$AB$5=N$4))/($L12-$K12+1))</f>
        <v>2</v>
      </c>
      <c r="O12" s="44">
        <f>IF($J12=0,0,$J12*SUMPRODUCT(('Cost baseline'!$C$4:$AB$4&gt;=$K12)*('Cost baseline'!$C$4:$AB$4&lt;=$L12)*('Cost baseline'!$C$5:$AB$5=O$4))/($L12-$K12+1))</f>
        <v>2</v>
      </c>
      <c r="P12" s="44">
        <f>IF($J12=0,0,$J12*SUMPRODUCT(('Cost baseline'!$C$4:$AB$4&gt;=$K12)*('Cost baseline'!$C$4:$AB$4&lt;=$L12)*('Cost baseline'!$C$5:$AB$5=P$4))/($L12-$K12+1))</f>
        <v>2.5</v>
      </c>
      <c r="Q12" s="44">
        <f>IF($J12=0,0,$J12*SUMPRODUCT(('Cost baseline'!$C$4:$AB$4&gt;=$K12)*('Cost baseline'!$C$4:$AB$4&lt;=$L12)*('Cost baseline'!$C$5:$AB$5=Q$4))/($L12-$K12+1))</f>
        <v>2</v>
      </c>
      <c r="R12" s="44">
        <f>IF($J12=0,0,$J12*SUMPRODUCT(('Cost baseline'!$C$4:$AB$4&gt;=$K12)*('Cost baseline'!$C$4:$AB$4&lt;=$L12)*('Cost baseline'!$C$5:$AB$5=R$4))/($L12-$K12+1))</f>
        <v>2</v>
      </c>
    </row>
    <row r="13" spans="2:18" ht="18" customHeight="1" x14ac:dyDescent="0.3">
      <c r="B13" s="13" t="s">
        <v>39</v>
      </c>
      <c r="C13" s="13" t="str">
        <f>IFERROR(INDEX(WBS!$F$5:$F$44,MATCH($B13,WBS!$B$5:$B$44,0)),"")</f>
        <v>–</v>
      </c>
      <c r="D13" s="40" t="s">
        <v>278</v>
      </c>
      <c r="E13" s="40" t="s">
        <v>269</v>
      </c>
      <c r="F13" s="13" t="s">
        <v>238</v>
      </c>
      <c r="G13" s="51">
        <v>6</v>
      </c>
      <c r="H13" s="40" t="s">
        <v>270</v>
      </c>
      <c r="I13" s="53">
        <f>INDEX('Nguồn lực'!$D$5:$D$8,MATCH($F13,'Nguồn lực'!$B$5:$B$8,0))</f>
        <v>1.5</v>
      </c>
      <c r="J13" s="44">
        <f t="shared" si="0"/>
        <v>9</v>
      </c>
      <c r="K13" s="54">
        <v>1</v>
      </c>
      <c r="L13" s="54">
        <v>26</v>
      </c>
      <c r="M13" s="44">
        <f>IF($J13=0,0,$J13*SUMPRODUCT(('Cost baseline'!$C$4:$AB$4&gt;=$K13)*('Cost baseline'!$C$4:$AB$4&lt;=$L13)*('Cost baseline'!$C$5:$AB$5=M$4))/($L13-$K13+1))</f>
        <v>1.7307692307692308</v>
      </c>
      <c r="N13" s="44">
        <f>IF($J13=0,0,$J13*SUMPRODUCT(('Cost baseline'!$C$4:$AB$4&gt;=$K13)*('Cost baseline'!$C$4:$AB$4&lt;=$L13)*('Cost baseline'!$C$5:$AB$5=N$4))/($L13-$K13+1))</f>
        <v>1.3846153846153846</v>
      </c>
      <c r="O13" s="44">
        <f>IF($J13=0,0,$J13*SUMPRODUCT(('Cost baseline'!$C$4:$AB$4&gt;=$K13)*('Cost baseline'!$C$4:$AB$4&lt;=$L13)*('Cost baseline'!$C$5:$AB$5=O$4))/($L13-$K13+1))</f>
        <v>1.3846153846153846</v>
      </c>
      <c r="P13" s="44">
        <f>IF($J13=0,0,$J13*SUMPRODUCT(('Cost baseline'!$C$4:$AB$4&gt;=$K13)*('Cost baseline'!$C$4:$AB$4&lt;=$L13)*('Cost baseline'!$C$5:$AB$5=P$4))/($L13-$K13+1))</f>
        <v>1.7307692307692308</v>
      </c>
      <c r="Q13" s="44">
        <f>IF($J13=0,0,$J13*SUMPRODUCT(('Cost baseline'!$C$4:$AB$4&gt;=$K13)*('Cost baseline'!$C$4:$AB$4&lt;=$L13)*('Cost baseline'!$C$5:$AB$5=Q$4))/($L13-$K13+1))</f>
        <v>1.3846153846153846</v>
      </c>
      <c r="R13" s="44">
        <f>IF($J13=0,0,$J13*SUMPRODUCT(('Cost baseline'!$C$4:$AB$4&gt;=$K13)*('Cost baseline'!$C$4:$AB$4&lt;=$L13)*('Cost baseline'!$C$5:$AB$5=R$4))/($L13-$K13+1))</f>
        <v>1.3846153846153846</v>
      </c>
    </row>
    <row r="14" spans="2:18" ht="18" customHeight="1" x14ac:dyDescent="0.3">
      <c r="B14" s="13" t="s">
        <v>39</v>
      </c>
      <c r="C14" s="13" t="str">
        <f>IFERROR(INDEX(WBS!$F$5:$F$44,MATCH($B14,WBS!$B$5:$B$44,0)),"")</f>
        <v>–</v>
      </c>
      <c r="D14" s="40" t="s">
        <v>279</v>
      </c>
      <c r="E14" s="40" t="s">
        <v>269</v>
      </c>
      <c r="F14" s="13" t="s">
        <v>242</v>
      </c>
      <c r="G14" s="51">
        <v>13</v>
      </c>
      <c r="H14" s="40" t="s">
        <v>270</v>
      </c>
      <c r="I14" s="53">
        <f>INDEX('Nguồn lực'!$D$5:$D$8,MATCH($F14,'Nguồn lực'!$B$5:$B$8,0))</f>
        <v>1</v>
      </c>
      <c r="J14" s="44">
        <f t="shared" si="0"/>
        <v>13</v>
      </c>
      <c r="K14" s="54">
        <v>1</v>
      </c>
      <c r="L14" s="54">
        <v>26</v>
      </c>
      <c r="M14" s="44">
        <f>IF($J14=0,0,$J14*SUMPRODUCT(('Cost baseline'!$C$4:$AB$4&gt;=$K14)*('Cost baseline'!$C$4:$AB$4&lt;=$L14)*('Cost baseline'!$C$5:$AB$5=M$4))/($L14-$K14+1))</f>
        <v>2.5</v>
      </c>
      <c r="N14" s="44">
        <f>IF($J14=0,0,$J14*SUMPRODUCT(('Cost baseline'!$C$4:$AB$4&gt;=$K14)*('Cost baseline'!$C$4:$AB$4&lt;=$L14)*('Cost baseline'!$C$5:$AB$5=N$4))/($L14-$K14+1))</f>
        <v>2</v>
      </c>
      <c r="O14" s="44">
        <f>IF($J14=0,0,$J14*SUMPRODUCT(('Cost baseline'!$C$4:$AB$4&gt;=$K14)*('Cost baseline'!$C$4:$AB$4&lt;=$L14)*('Cost baseline'!$C$5:$AB$5=O$4))/($L14-$K14+1))</f>
        <v>2</v>
      </c>
      <c r="P14" s="44">
        <f>IF($J14=0,0,$J14*SUMPRODUCT(('Cost baseline'!$C$4:$AB$4&gt;=$K14)*('Cost baseline'!$C$4:$AB$4&lt;=$L14)*('Cost baseline'!$C$5:$AB$5=P$4))/($L14-$K14+1))</f>
        <v>2.5</v>
      </c>
      <c r="Q14" s="44">
        <f>IF($J14=0,0,$J14*SUMPRODUCT(('Cost baseline'!$C$4:$AB$4&gt;=$K14)*('Cost baseline'!$C$4:$AB$4&lt;=$L14)*('Cost baseline'!$C$5:$AB$5=Q$4))/($L14-$K14+1))</f>
        <v>2</v>
      </c>
      <c r="R14" s="44">
        <f>IF($J14=0,0,$J14*SUMPRODUCT(('Cost baseline'!$C$4:$AB$4&gt;=$K14)*('Cost baseline'!$C$4:$AB$4&lt;=$L14)*('Cost baseline'!$C$5:$AB$5=R$4))/($L14-$K14+1))</f>
        <v>2</v>
      </c>
    </row>
    <row r="15" spans="2:18" ht="18" customHeight="1" x14ac:dyDescent="0.3">
      <c r="B15" s="13" t="s">
        <v>47</v>
      </c>
      <c r="C15" s="13" t="str">
        <f>IFERROR(INDEX(WBS!$F$5:$F$44,MATCH($B15,WBS!$B$5:$B$44,0)),"")</f>
        <v>A</v>
      </c>
      <c r="D15" s="40" t="s">
        <v>280</v>
      </c>
      <c r="E15" s="40" t="s">
        <v>269</v>
      </c>
      <c r="F15" s="13" t="s">
        <v>234</v>
      </c>
      <c r="G15" s="51">
        <v>10</v>
      </c>
      <c r="H15" s="40" t="s">
        <v>270</v>
      </c>
      <c r="I15" s="53">
        <f>INDEX('Nguồn lực'!$D$5:$D$8,MATCH($F15,'Nguồn lực'!$B$5:$B$8,0))</f>
        <v>1.5</v>
      </c>
      <c r="J15" s="44">
        <f t="shared" si="0"/>
        <v>15</v>
      </c>
      <c r="K15" s="55">
        <f>INDEX('Hoạt động, lịch'!$L$5:$L$26,MATCH($C15,'Hoạt động, lịch'!$B$5:$B$26,0))+1</f>
        <v>1</v>
      </c>
      <c r="L15" s="55">
        <f>INDEX('Hoạt động, lịch'!$M$5:$M$26,MATCH($C15,'Hoạt động, lịch'!$B$5:$B$26,0))</f>
        <v>3</v>
      </c>
      <c r="M15" s="44">
        <f>IF($J15=0,0,$J15*SUMPRODUCT(('Cost baseline'!$C$4:$AB$4&gt;=$K15)*('Cost baseline'!$C$4:$AB$4&lt;=$L15)*('Cost baseline'!$C$5:$AB$5=M$4))/($L15-$K15+1))</f>
        <v>15</v>
      </c>
      <c r="N15" s="44">
        <f>IF($J15=0,0,$J15*SUMPRODUCT(('Cost baseline'!$C$4:$AB$4&gt;=$K15)*('Cost baseline'!$C$4:$AB$4&lt;=$L15)*('Cost baseline'!$C$5:$AB$5=N$4))/($L15-$K15+1))</f>
        <v>0</v>
      </c>
      <c r="O15" s="44">
        <f>IF($J15=0,0,$J15*SUMPRODUCT(('Cost baseline'!$C$4:$AB$4&gt;=$K15)*('Cost baseline'!$C$4:$AB$4&lt;=$L15)*('Cost baseline'!$C$5:$AB$5=O$4))/($L15-$K15+1))</f>
        <v>0</v>
      </c>
      <c r="P15" s="44">
        <f>IF($J15=0,0,$J15*SUMPRODUCT(('Cost baseline'!$C$4:$AB$4&gt;=$K15)*('Cost baseline'!$C$4:$AB$4&lt;=$L15)*('Cost baseline'!$C$5:$AB$5=P$4))/($L15-$K15+1))</f>
        <v>0</v>
      </c>
      <c r="Q15" s="44">
        <f>IF($J15=0,0,$J15*SUMPRODUCT(('Cost baseline'!$C$4:$AB$4&gt;=$K15)*('Cost baseline'!$C$4:$AB$4&lt;=$L15)*('Cost baseline'!$C$5:$AB$5=Q$4))/($L15-$K15+1))</f>
        <v>0</v>
      </c>
      <c r="R15" s="44">
        <f>IF($J15=0,0,$J15*SUMPRODUCT(('Cost baseline'!$C$4:$AB$4&gt;=$K15)*('Cost baseline'!$C$4:$AB$4&lt;=$L15)*('Cost baseline'!$C$5:$AB$5=R$4))/($L15-$K15+1))</f>
        <v>0</v>
      </c>
    </row>
    <row r="16" spans="2:18" ht="18" customHeight="1" x14ac:dyDescent="0.3">
      <c r="B16" s="13" t="s">
        <v>47</v>
      </c>
      <c r="C16" s="13" t="str">
        <f>IFERROR(INDEX(WBS!$F$5:$F$44,MATCH($B16,WBS!$B$5:$B$44,0)),"")</f>
        <v>A</v>
      </c>
      <c r="D16" s="40" t="s">
        <v>281</v>
      </c>
      <c r="E16" s="40" t="s">
        <v>269</v>
      </c>
      <c r="F16" s="13" t="s">
        <v>242</v>
      </c>
      <c r="G16" s="51">
        <v>10</v>
      </c>
      <c r="H16" s="40" t="s">
        <v>270</v>
      </c>
      <c r="I16" s="53">
        <f>INDEX('Nguồn lực'!$D$5:$D$8,MATCH($F16,'Nguồn lực'!$B$5:$B$8,0))</f>
        <v>1</v>
      </c>
      <c r="J16" s="44">
        <f t="shared" si="0"/>
        <v>10</v>
      </c>
      <c r="K16" s="55">
        <f>INDEX('Hoạt động, lịch'!$L$5:$L$26,MATCH($C16,'Hoạt động, lịch'!$B$5:$B$26,0))+1</f>
        <v>1</v>
      </c>
      <c r="L16" s="55">
        <f>INDEX('Hoạt động, lịch'!$M$5:$M$26,MATCH($C16,'Hoạt động, lịch'!$B$5:$B$26,0))</f>
        <v>3</v>
      </c>
      <c r="M16" s="44">
        <f>IF($J16=0,0,$J16*SUMPRODUCT(('Cost baseline'!$C$4:$AB$4&gt;=$K16)*('Cost baseline'!$C$4:$AB$4&lt;=$L16)*('Cost baseline'!$C$5:$AB$5=M$4))/($L16-$K16+1))</f>
        <v>10</v>
      </c>
      <c r="N16" s="44">
        <f>IF($J16=0,0,$J16*SUMPRODUCT(('Cost baseline'!$C$4:$AB$4&gt;=$K16)*('Cost baseline'!$C$4:$AB$4&lt;=$L16)*('Cost baseline'!$C$5:$AB$5=N$4))/($L16-$K16+1))</f>
        <v>0</v>
      </c>
      <c r="O16" s="44">
        <f>IF($J16=0,0,$J16*SUMPRODUCT(('Cost baseline'!$C$4:$AB$4&gt;=$K16)*('Cost baseline'!$C$4:$AB$4&lt;=$L16)*('Cost baseline'!$C$5:$AB$5=O$4))/($L16-$K16+1))</f>
        <v>0</v>
      </c>
      <c r="P16" s="44">
        <f>IF($J16=0,0,$J16*SUMPRODUCT(('Cost baseline'!$C$4:$AB$4&gt;=$K16)*('Cost baseline'!$C$4:$AB$4&lt;=$L16)*('Cost baseline'!$C$5:$AB$5=P$4))/($L16-$K16+1))</f>
        <v>0</v>
      </c>
      <c r="Q16" s="44">
        <f>IF($J16=0,0,$J16*SUMPRODUCT(('Cost baseline'!$C$4:$AB$4&gt;=$K16)*('Cost baseline'!$C$4:$AB$4&lt;=$L16)*('Cost baseline'!$C$5:$AB$5=Q$4))/($L16-$K16+1))</f>
        <v>0</v>
      </c>
      <c r="R16" s="44">
        <f>IF($J16=0,0,$J16*SUMPRODUCT(('Cost baseline'!$C$4:$AB$4&gt;=$K16)*('Cost baseline'!$C$4:$AB$4&lt;=$L16)*('Cost baseline'!$C$5:$AB$5=R$4))/($L16-$K16+1))</f>
        <v>0</v>
      </c>
    </row>
    <row r="17" spans="2:18" ht="18" customHeight="1" x14ac:dyDescent="0.3">
      <c r="B17" s="13" t="s">
        <v>51</v>
      </c>
      <c r="C17" s="13" t="str">
        <f>IFERROR(INDEX(WBS!$F$5:$F$44,MATCH($B17,WBS!$B$5:$B$44,0)),"")</f>
        <v>B</v>
      </c>
      <c r="D17" s="40" t="s">
        <v>282</v>
      </c>
      <c r="E17" s="40" t="s">
        <v>269</v>
      </c>
      <c r="F17" s="13" t="s">
        <v>234</v>
      </c>
      <c r="G17" s="51">
        <v>15</v>
      </c>
      <c r="H17" s="40" t="s">
        <v>270</v>
      </c>
      <c r="I17" s="53">
        <f>INDEX('Nguồn lực'!$D$5:$D$8,MATCH($F17,'Nguồn lực'!$B$5:$B$8,0))</f>
        <v>1.5</v>
      </c>
      <c r="J17" s="44">
        <f t="shared" si="0"/>
        <v>22.5</v>
      </c>
      <c r="K17" s="55">
        <f>INDEX('Hoạt động, lịch'!$L$5:$L$26,MATCH($C17,'Hoạt động, lịch'!$B$5:$B$26,0))+1</f>
        <v>4</v>
      </c>
      <c r="L17" s="55">
        <f>INDEX('Hoạt động, lịch'!$M$5:$M$26,MATCH($C17,'Hoạt động, lịch'!$B$5:$B$26,0))</f>
        <v>6</v>
      </c>
      <c r="M17" s="44">
        <f>IF($J17=0,0,$J17*SUMPRODUCT(('Cost baseline'!$C$4:$AB$4&gt;=$K17)*('Cost baseline'!$C$4:$AB$4&lt;=$L17)*('Cost baseline'!$C$5:$AB$5=M$4))/($L17-$K17+1))</f>
        <v>15</v>
      </c>
      <c r="N17" s="44">
        <f>IF($J17=0,0,$J17*SUMPRODUCT(('Cost baseline'!$C$4:$AB$4&gt;=$K17)*('Cost baseline'!$C$4:$AB$4&lt;=$L17)*('Cost baseline'!$C$5:$AB$5=N$4))/($L17-$K17+1))</f>
        <v>7.5</v>
      </c>
      <c r="O17" s="44">
        <f>IF($J17=0,0,$J17*SUMPRODUCT(('Cost baseline'!$C$4:$AB$4&gt;=$K17)*('Cost baseline'!$C$4:$AB$4&lt;=$L17)*('Cost baseline'!$C$5:$AB$5=O$4))/($L17-$K17+1))</f>
        <v>0</v>
      </c>
      <c r="P17" s="44">
        <f>IF($J17=0,0,$J17*SUMPRODUCT(('Cost baseline'!$C$4:$AB$4&gt;=$K17)*('Cost baseline'!$C$4:$AB$4&lt;=$L17)*('Cost baseline'!$C$5:$AB$5=P$4))/($L17-$K17+1))</f>
        <v>0</v>
      </c>
      <c r="Q17" s="44">
        <f>IF($J17=0,0,$J17*SUMPRODUCT(('Cost baseline'!$C$4:$AB$4&gt;=$K17)*('Cost baseline'!$C$4:$AB$4&lt;=$L17)*('Cost baseline'!$C$5:$AB$5=Q$4))/($L17-$K17+1))</f>
        <v>0</v>
      </c>
      <c r="R17" s="44">
        <f>IF($J17=0,0,$J17*SUMPRODUCT(('Cost baseline'!$C$4:$AB$4&gt;=$K17)*('Cost baseline'!$C$4:$AB$4&lt;=$L17)*('Cost baseline'!$C$5:$AB$5=R$4))/($L17-$K17+1))</f>
        <v>0</v>
      </c>
    </row>
    <row r="18" spans="2:18" ht="18" customHeight="1" x14ac:dyDescent="0.3">
      <c r="B18" s="13" t="s">
        <v>51</v>
      </c>
      <c r="C18" s="13" t="str">
        <f>IFERROR(INDEX(WBS!$F$5:$F$44,MATCH($B18,WBS!$B$5:$B$44,0)),"")</f>
        <v>B</v>
      </c>
      <c r="D18" s="40" t="s">
        <v>283</v>
      </c>
      <c r="E18" s="40" t="s">
        <v>269</v>
      </c>
      <c r="F18" s="13" t="s">
        <v>242</v>
      </c>
      <c r="G18" s="51">
        <v>8</v>
      </c>
      <c r="H18" s="40" t="s">
        <v>270</v>
      </c>
      <c r="I18" s="53">
        <f>INDEX('Nguồn lực'!$D$5:$D$8,MATCH($F18,'Nguồn lực'!$B$5:$B$8,0))</f>
        <v>1</v>
      </c>
      <c r="J18" s="44">
        <f t="shared" si="0"/>
        <v>8</v>
      </c>
      <c r="K18" s="55">
        <f>INDEX('Hoạt động, lịch'!$L$5:$L$26,MATCH($C18,'Hoạt động, lịch'!$B$5:$B$26,0))+1</f>
        <v>4</v>
      </c>
      <c r="L18" s="55">
        <f>INDEX('Hoạt động, lịch'!$M$5:$M$26,MATCH($C18,'Hoạt động, lịch'!$B$5:$B$26,0))</f>
        <v>6</v>
      </c>
      <c r="M18" s="44">
        <f>IF($J18=0,0,$J18*SUMPRODUCT(('Cost baseline'!$C$4:$AB$4&gt;=$K18)*('Cost baseline'!$C$4:$AB$4&lt;=$L18)*('Cost baseline'!$C$5:$AB$5=M$4))/($L18-$K18+1))</f>
        <v>5.333333333333333</v>
      </c>
      <c r="N18" s="44">
        <f>IF($J18=0,0,$J18*SUMPRODUCT(('Cost baseline'!$C$4:$AB$4&gt;=$K18)*('Cost baseline'!$C$4:$AB$4&lt;=$L18)*('Cost baseline'!$C$5:$AB$5=N$4))/($L18-$K18+1))</f>
        <v>2.6666666666666665</v>
      </c>
      <c r="O18" s="44">
        <f>IF($J18=0,0,$J18*SUMPRODUCT(('Cost baseline'!$C$4:$AB$4&gt;=$K18)*('Cost baseline'!$C$4:$AB$4&lt;=$L18)*('Cost baseline'!$C$5:$AB$5=O$4))/($L18-$K18+1))</f>
        <v>0</v>
      </c>
      <c r="P18" s="44">
        <f>IF($J18=0,0,$J18*SUMPRODUCT(('Cost baseline'!$C$4:$AB$4&gt;=$K18)*('Cost baseline'!$C$4:$AB$4&lt;=$L18)*('Cost baseline'!$C$5:$AB$5=P$4))/($L18-$K18+1))</f>
        <v>0</v>
      </c>
      <c r="Q18" s="44">
        <f>IF($J18=0,0,$J18*SUMPRODUCT(('Cost baseline'!$C$4:$AB$4&gt;=$K18)*('Cost baseline'!$C$4:$AB$4&lt;=$L18)*('Cost baseline'!$C$5:$AB$5=Q$4))/($L18-$K18+1))</f>
        <v>0</v>
      </c>
      <c r="R18" s="44">
        <f>IF($J18=0,0,$J18*SUMPRODUCT(('Cost baseline'!$C$4:$AB$4&gt;=$K18)*('Cost baseline'!$C$4:$AB$4&lt;=$L18)*('Cost baseline'!$C$5:$AB$5=R$4))/($L18-$K18+1))</f>
        <v>0</v>
      </c>
    </row>
    <row r="19" spans="2:18" ht="18" customHeight="1" x14ac:dyDescent="0.3">
      <c r="B19" s="13" t="s">
        <v>59</v>
      </c>
      <c r="C19" s="13" t="str">
        <f>IFERROR(INDEX(WBS!$F$5:$F$44,MATCH($B19,WBS!$B$5:$B$44,0)),"")</f>
        <v>C</v>
      </c>
      <c r="D19" s="40" t="s">
        <v>284</v>
      </c>
      <c r="E19" s="40" t="s">
        <v>269</v>
      </c>
      <c r="F19" s="13" t="s">
        <v>230</v>
      </c>
      <c r="G19" s="51">
        <v>20</v>
      </c>
      <c r="H19" s="40" t="s">
        <v>270</v>
      </c>
      <c r="I19" s="53">
        <f>INDEX('Nguồn lực'!$D$5:$D$8,MATCH($F19,'Nguồn lực'!$B$5:$B$8,0))</f>
        <v>2</v>
      </c>
      <c r="J19" s="44">
        <f t="shared" si="0"/>
        <v>40</v>
      </c>
      <c r="K19" s="55">
        <f>INDEX('Hoạt động, lịch'!$L$5:$L$26,MATCH($C19,'Hoạt động, lịch'!$B$5:$B$26,0))+1</f>
        <v>7</v>
      </c>
      <c r="L19" s="55">
        <f>INDEX('Hoạt động, lịch'!$M$5:$M$26,MATCH($C19,'Hoạt động, lịch'!$B$5:$B$26,0))</f>
        <v>8</v>
      </c>
      <c r="M19" s="44">
        <f>IF($J19=0,0,$J19*SUMPRODUCT(('Cost baseline'!$C$4:$AB$4&gt;=$K19)*('Cost baseline'!$C$4:$AB$4&lt;=$L19)*('Cost baseline'!$C$5:$AB$5=M$4))/($L19-$K19+1))</f>
        <v>0</v>
      </c>
      <c r="N19" s="44">
        <f>IF($J19=0,0,$J19*SUMPRODUCT(('Cost baseline'!$C$4:$AB$4&gt;=$K19)*('Cost baseline'!$C$4:$AB$4&lt;=$L19)*('Cost baseline'!$C$5:$AB$5=N$4))/($L19-$K19+1))</f>
        <v>40</v>
      </c>
      <c r="O19" s="44">
        <f>IF($J19=0,0,$J19*SUMPRODUCT(('Cost baseline'!$C$4:$AB$4&gt;=$K19)*('Cost baseline'!$C$4:$AB$4&lt;=$L19)*('Cost baseline'!$C$5:$AB$5=O$4))/($L19-$K19+1))</f>
        <v>0</v>
      </c>
      <c r="P19" s="44">
        <f>IF($J19=0,0,$J19*SUMPRODUCT(('Cost baseline'!$C$4:$AB$4&gt;=$K19)*('Cost baseline'!$C$4:$AB$4&lt;=$L19)*('Cost baseline'!$C$5:$AB$5=P$4))/($L19-$K19+1))</f>
        <v>0</v>
      </c>
      <c r="Q19" s="44">
        <f>IF($J19=0,0,$J19*SUMPRODUCT(('Cost baseline'!$C$4:$AB$4&gt;=$K19)*('Cost baseline'!$C$4:$AB$4&lt;=$L19)*('Cost baseline'!$C$5:$AB$5=Q$4))/($L19-$K19+1))</f>
        <v>0</v>
      </c>
      <c r="R19" s="44">
        <f>IF($J19=0,0,$J19*SUMPRODUCT(('Cost baseline'!$C$4:$AB$4&gt;=$K19)*('Cost baseline'!$C$4:$AB$4&lt;=$L19)*('Cost baseline'!$C$5:$AB$5=R$4))/($L19-$K19+1))</f>
        <v>0</v>
      </c>
    </row>
    <row r="20" spans="2:18" ht="18" customHeight="1" x14ac:dyDescent="0.3">
      <c r="B20" s="13" t="s">
        <v>59</v>
      </c>
      <c r="C20" s="13" t="str">
        <f>IFERROR(INDEX(WBS!$F$5:$F$44,MATCH($B20,WBS!$B$5:$B$44,0)),"")</f>
        <v>C</v>
      </c>
      <c r="D20" s="40" t="s">
        <v>285</v>
      </c>
      <c r="E20" s="40" t="s">
        <v>269</v>
      </c>
      <c r="F20" s="13" t="s">
        <v>234</v>
      </c>
      <c r="G20" s="51">
        <v>5</v>
      </c>
      <c r="H20" s="40" t="s">
        <v>270</v>
      </c>
      <c r="I20" s="53">
        <f>INDEX('Nguồn lực'!$D$5:$D$8,MATCH($F20,'Nguồn lực'!$B$5:$B$8,0))</f>
        <v>1.5</v>
      </c>
      <c r="J20" s="44">
        <f t="shared" si="0"/>
        <v>7.5</v>
      </c>
      <c r="K20" s="55">
        <f>INDEX('Hoạt động, lịch'!$L$5:$L$26,MATCH($C20,'Hoạt động, lịch'!$B$5:$B$26,0))+1</f>
        <v>7</v>
      </c>
      <c r="L20" s="55">
        <f>INDEX('Hoạt động, lịch'!$M$5:$M$26,MATCH($C20,'Hoạt động, lịch'!$B$5:$B$26,0))</f>
        <v>8</v>
      </c>
      <c r="M20" s="44">
        <f>IF($J20=0,0,$J20*SUMPRODUCT(('Cost baseline'!$C$4:$AB$4&gt;=$K20)*('Cost baseline'!$C$4:$AB$4&lt;=$L20)*('Cost baseline'!$C$5:$AB$5=M$4))/($L20-$K20+1))</f>
        <v>0</v>
      </c>
      <c r="N20" s="44">
        <f>IF($J20=0,0,$J20*SUMPRODUCT(('Cost baseline'!$C$4:$AB$4&gt;=$K20)*('Cost baseline'!$C$4:$AB$4&lt;=$L20)*('Cost baseline'!$C$5:$AB$5=N$4))/($L20-$K20+1))</f>
        <v>7.5</v>
      </c>
      <c r="O20" s="44">
        <f>IF($J20=0,0,$J20*SUMPRODUCT(('Cost baseline'!$C$4:$AB$4&gt;=$K20)*('Cost baseline'!$C$4:$AB$4&lt;=$L20)*('Cost baseline'!$C$5:$AB$5=O$4))/($L20-$K20+1))</f>
        <v>0</v>
      </c>
      <c r="P20" s="44">
        <f>IF($J20=0,0,$J20*SUMPRODUCT(('Cost baseline'!$C$4:$AB$4&gt;=$K20)*('Cost baseline'!$C$4:$AB$4&lt;=$L20)*('Cost baseline'!$C$5:$AB$5=P$4))/($L20-$K20+1))</f>
        <v>0</v>
      </c>
      <c r="Q20" s="44">
        <f>IF($J20=0,0,$J20*SUMPRODUCT(('Cost baseline'!$C$4:$AB$4&gt;=$K20)*('Cost baseline'!$C$4:$AB$4&lt;=$L20)*('Cost baseline'!$C$5:$AB$5=Q$4))/($L20-$K20+1))</f>
        <v>0</v>
      </c>
      <c r="R20" s="44">
        <f>IF($J20=0,0,$J20*SUMPRODUCT(('Cost baseline'!$C$4:$AB$4&gt;=$K20)*('Cost baseline'!$C$4:$AB$4&lt;=$L20)*('Cost baseline'!$C$5:$AB$5=R$4))/($L20-$K20+1))</f>
        <v>0</v>
      </c>
    </row>
    <row r="21" spans="2:18" ht="18" customHeight="1" x14ac:dyDescent="0.3">
      <c r="B21" s="13" t="s">
        <v>63</v>
      </c>
      <c r="C21" s="13" t="str">
        <f>IFERROR(INDEX(WBS!$F$5:$F$44,MATCH($B21,WBS!$B$5:$B$44,0)),"")</f>
        <v>D</v>
      </c>
      <c r="D21" s="40" t="s">
        <v>286</v>
      </c>
      <c r="E21" s="40" t="s">
        <v>269</v>
      </c>
      <c r="F21" s="13" t="s">
        <v>230</v>
      </c>
      <c r="G21" s="51">
        <v>10</v>
      </c>
      <c r="H21" s="40" t="s">
        <v>270</v>
      </c>
      <c r="I21" s="53">
        <f>INDEX('Nguồn lực'!$D$5:$D$8,MATCH($F21,'Nguồn lực'!$B$5:$B$8,0))</f>
        <v>2</v>
      </c>
      <c r="J21" s="44">
        <f t="shared" si="0"/>
        <v>20</v>
      </c>
      <c r="K21" s="55">
        <f>INDEX('Hoạt động, lịch'!$L$5:$L$26,MATCH($C21,'Hoạt động, lịch'!$B$5:$B$26,0))+1</f>
        <v>7</v>
      </c>
      <c r="L21" s="55">
        <f>INDEX('Hoạt động, lịch'!$M$5:$M$26,MATCH($C21,'Hoạt động, lịch'!$B$5:$B$26,0))</f>
        <v>8</v>
      </c>
      <c r="M21" s="44">
        <f>IF($J21=0,0,$J21*SUMPRODUCT(('Cost baseline'!$C$4:$AB$4&gt;=$K21)*('Cost baseline'!$C$4:$AB$4&lt;=$L21)*('Cost baseline'!$C$5:$AB$5=M$4))/($L21-$K21+1))</f>
        <v>0</v>
      </c>
      <c r="N21" s="44">
        <f>IF($J21=0,0,$J21*SUMPRODUCT(('Cost baseline'!$C$4:$AB$4&gt;=$K21)*('Cost baseline'!$C$4:$AB$4&lt;=$L21)*('Cost baseline'!$C$5:$AB$5=N$4))/($L21-$K21+1))</f>
        <v>20</v>
      </c>
      <c r="O21" s="44">
        <f>IF($J21=0,0,$J21*SUMPRODUCT(('Cost baseline'!$C$4:$AB$4&gt;=$K21)*('Cost baseline'!$C$4:$AB$4&lt;=$L21)*('Cost baseline'!$C$5:$AB$5=O$4))/($L21-$K21+1))</f>
        <v>0</v>
      </c>
      <c r="P21" s="44">
        <f>IF($J21=0,0,$J21*SUMPRODUCT(('Cost baseline'!$C$4:$AB$4&gt;=$K21)*('Cost baseline'!$C$4:$AB$4&lt;=$L21)*('Cost baseline'!$C$5:$AB$5=P$4))/($L21-$K21+1))</f>
        <v>0</v>
      </c>
      <c r="Q21" s="44">
        <f>IF($J21=0,0,$J21*SUMPRODUCT(('Cost baseline'!$C$4:$AB$4&gt;=$K21)*('Cost baseline'!$C$4:$AB$4&lt;=$L21)*('Cost baseline'!$C$5:$AB$5=Q$4))/($L21-$K21+1))</f>
        <v>0</v>
      </c>
      <c r="R21" s="44">
        <f>IF($J21=0,0,$J21*SUMPRODUCT(('Cost baseline'!$C$4:$AB$4&gt;=$K21)*('Cost baseline'!$C$4:$AB$4&lt;=$L21)*('Cost baseline'!$C$5:$AB$5=R$4))/($L21-$K21+1))</f>
        <v>0</v>
      </c>
    </row>
    <row r="22" spans="2:18" ht="18" customHeight="1" x14ac:dyDescent="0.3">
      <c r="B22" s="13" t="s">
        <v>63</v>
      </c>
      <c r="C22" s="13" t="str">
        <f>IFERROR(INDEX(WBS!$F$5:$F$44,MATCH($B22,WBS!$B$5:$B$44,0)),"")</f>
        <v>D</v>
      </c>
      <c r="D22" s="40" t="s">
        <v>285</v>
      </c>
      <c r="E22" s="40" t="s">
        <v>269</v>
      </c>
      <c r="F22" s="13" t="s">
        <v>234</v>
      </c>
      <c r="G22" s="51">
        <v>5</v>
      </c>
      <c r="H22" s="40" t="s">
        <v>270</v>
      </c>
      <c r="I22" s="53">
        <f>INDEX('Nguồn lực'!$D$5:$D$8,MATCH($F22,'Nguồn lực'!$B$5:$B$8,0))</f>
        <v>1.5</v>
      </c>
      <c r="J22" s="44">
        <f t="shared" si="0"/>
        <v>7.5</v>
      </c>
      <c r="K22" s="55">
        <f>INDEX('Hoạt động, lịch'!$L$5:$L$26,MATCH($C22,'Hoạt động, lịch'!$B$5:$B$26,0))+1</f>
        <v>7</v>
      </c>
      <c r="L22" s="55">
        <f>INDEX('Hoạt động, lịch'!$M$5:$M$26,MATCH($C22,'Hoạt động, lịch'!$B$5:$B$26,0))</f>
        <v>8</v>
      </c>
      <c r="M22" s="44">
        <f>IF($J22=0,0,$J22*SUMPRODUCT(('Cost baseline'!$C$4:$AB$4&gt;=$K22)*('Cost baseline'!$C$4:$AB$4&lt;=$L22)*('Cost baseline'!$C$5:$AB$5=M$4))/($L22-$K22+1))</f>
        <v>0</v>
      </c>
      <c r="N22" s="44">
        <f>IF($J22=0,0,$J22*SUMPRODUCT(('Cost baseline'!$C$4:$AB$4&gt;=$K22)*('Cost baseline'!$C$4:$AB$4&lt;=$L22)*('Cost baseline'!$C$5:$AB$5=N$4))/($L22-$K22+1))</f>
        <v>7.5</v>
      </c>
      <c r="O22" s="44">
        <f>IF($J22=0,0,$J22*SUMPRODUCT(('Cost baseline'!$C$4:$AB$4&gt;=$K22)*('Cost baseline'!$C$4:$AB$4&lt;=$L22)*('Cost baseline'!$C$5:$AB$5=O$4))/($L22-$K22+1))</f>
        <v>0</v>
      </c>
      <c r="P22" s="44">
        <f>IF($J22=0,0,$J22*SUMPRODUCT(('Cost baseline'!$C$4:$AB$4&gt;=$K22)*('Cost baseline'!$C$4:$AB$4&lt;=$L22)*('Cost baseline'!$C$5:$AB$5=P$4))/($L22-$K22+1))</f>
        <v>0</v>
      </c>
      <c r="Q22" s="44">
        <f>IF($J22=0,0,$J22*SUMPRODUCT(('Cost baseline'!$C$4:$AB$4&gt;=$K22)*('Cost baseline'!$C$4:$AB$4&lt;=$L22)*('Cost baseline'!$C$5:$AB$5=Q$4))/($L22-$K22+1))</f>
        <v>0</v>
      </c>
      <c r="R22" s="44">
        <f>IF($J22=0,0,$J22*SUMPRODUCT(('Cost baseline'!$C$4:$AB$4&gt;=$K22)*('Cost baseline'!$C$4:$AB$4&lt;=$L22)*('Cost baseline'!$C$5:$AB$5=R$4))/($L22-$K22+1))</f>
        <v>0</v>
      </c>
    </row>
    <row r="23" spans="2:18" ht="18" customHeight="1" x14ac:dyDescent="0.3">
      <c r="B23" s="13" t="s">
        <v>70</v>
      </c>
      <c r="C23" s="13" t="str">
        <f>IFERROR(INDEX(WBS!$F$5:$F$44,MATCH($B23,WBS!$B$5:$B$44,0)),"")</f>
        <v>E</v>
      </c>
      <c r="D23" s="40" t="s">
        <v>287</v>
      </c>
      <c r="E23" s="40" t="s">
        <v>269</v>
      </c>
      <c r="F23" s="13" t="s">
        <v>230</v>
      </c>
      <c r="G23" s="51">
        <v>60</v>
      </c>
      <c r="H23" s="40" t="s">
        <v>270</v>
      </c>
      <c r="I23" s="53">
        <f>INDEX('Nguồn lực'!$D$5:$D$8,MATCH($F23,'Nguồn lực'!$B$5:$B$8,0))</f>
        <v>2</v>
      </c>
      <c r="J23" s="44">
        <f t="shared" si="0"/>
        <v>120</v>
      </c>
      <c r="K23" s="55">
        <f>INDEX('Hoạt động, lịch'!$L$5:$L$26,MATCH($C23,'Hoạt động, lịch'!$B$5:$B$26,0))+1</f>
        <v>9</v>
      </c>
      <c r="L23" s="55">
        <f>INDEX('Hoạt động, lịch'!$M$5:$M$26,MATCH($C23,'Hoạt động, lịch'!$B$5:$B$26,0))</f>
        <v>14</v>
      </c>
      <c r="M23" s="44">
        <f>IF($J23=0,0,$J23*SUMPRODUCT(('Cost baseline'!$C$4:$AB$4&gt;=$K23)*('Cost baseline'!$C$4:$AB$4&lt;=$L23)*('Cost baseline'!$C$5:$AB$5=M$4))/($L23-$K23+1))</f>
        <v>0</v>
      </c>
      <c r="N23" s="44">
        <f>IF($J23=0,0,$J23*SUMPRODUCT(('Cost baseline'!$C$4:$AB$4&gt;=$K23)*('Cost baseline'!$C$4:$AB$4&lt;=$L23)*('Cost baseline'!$C$5:$AB$5=N$4))/($L23-$K23+1))</f>
        <v>20</v>
      </c>
      <c r="O23" s="44">
        <f>IF($J23=0,0,$J23*SUMPRODUCT(('Cost baseline'!$C$4:$AB$4&gt;=$K23)*('Cost baseline'!$C$4:$AB$4&lt;=$L23)*('Cost baseline'!$C$5:$AB$5=O$4))/($L23-$K23+1))</f>
        <v>80</v>
      </c>
      <c r="P23" s="44">
        <f>IF($J23=0,0,$J23*SUMPRODUCT(('Cost baseline'!$C$4:$AB$4&gt;=$K23)*('Cost baseline'!$C$4:$AB$4&lt;=$L23)*('Cost baseline'!$C$5:$AB$5=P$4))/($L23-$K23+1))</f>
        <v>20</v>
      </c>
      <c r="Q23" s="44">
        <f>IF($J23=0,0,$J23*SUMPRODUCT(('Cost baseline'!$C$4:$AB$4&gt;=$K23)*('Cost baseline'!$C$4:$AB$4&lt;=$L23)*('Cost baseline'!$C$5:$AB$5=Q$4))/($L23-$K23+1))</f>
        <v>0</v>
      </c>
      <c r="R23" s="44">
        <f>IF($J23=0,0,$J23*SUMPRODUCT(('Cost baseline'!$C$4:$AB$4&gt;=$K23)*('Cost baseline'!$C$4:$AB$4&lt;=$L23)*('Cost baseline'!$C$5:$AB$5=R$4))/($L23-$K23+1))</f>
        <v>0</v>
      </c>
    </row>
    <row r="24" spans="2:18" ht="18" customHeight="1" x14ac:dyDescent="0.3">
      <c r="B24" s="13" t="s">
        <v>70</v>
      </c>
      <c r="C24" s="13" t="str">
        <f>IFERROR(INDEX(WBS!$F$5:$F$44,MATCH($B24,WBS!$B$5:$B$44,0)),"")</f>
        <v>E</v>
      </c>
      <c r="D24" s="40" t="s">
        <v>288</v>
      </c>
      <c r="E24" s="40" t="s">
        <v>289</v>
      </c>
      <c r="F24" s="13"/>
      <c r="G24" s="51">
        <v>1</v>
      </c>
      <c r="H24" s="40" t="s">
        <v>290</v>
      </c>
      <c r="I24" s="41">
        <v>30</v>
      </c>
      <c r="J24" s="44">
        <f t="shared" si="0"/>
        <v>30</v>
      </c>
      <c r="K24" s="55">
        <f>INDEX('Hoạt động, lịch'!$L$5:$L$26,MATCH($C24,'Hoạt động, lịch'!$B$5:$B$26,0))+1</f>
        <v>9</v>
      </c>
      <c r="L24" s="55">
        <f>INDEX('Hoạt động, lịch'!$M$5:$M$26,MATCH($C24,'Hoạt động, lịch'!$B$5:$B$26,0))</f>
        <v>14</v>
      </c>
      <c r="M24" s="44">
        <f>IF($J24=0,0,$J24*SUMPRODUCT(('Cost baseline'!$C$4:$AB$4&gt;=$K24)*('Cost baseline'!$C$4:$AB$4&lt;=$L24)*('Cost baseline'!$C$5:$AB$5=M$4))/($L24-$K24+1))</f>
        <v>0</v>
      </c>
      <c r="N24" s="44">
        <f>IF($J24=0,0,$J24*SUMPRODUCT(('Cost baseline'!$C$4:$AB$4&gt;=$K24)*('Cost baseline'!$C$4:$AB$4&lt;=$L24)*('Cost baseline'!$C$5:$AB$5=N$4))/($L24-$K24+1))</f>
        <v>5</v>
      </c>
      <c r="O24" s="44">
        <f>IF($J24=0,0,$J24*SUMPRODUCT(('Cost baseline'!$C$4:$AB$4&gt;=$K24)*('Cost baseline'!$C$4:$AB$4&lt;=$L24)*('Cost baseline'!$C$5:$AB$5=O$4))/($L24-$K24+1))</f>
        <v>20</v>
      </c>
      <c r="P24" s="44">
        <f>IF($J24=0,0,$J24*SUMPRODUCT(('Cost baseline'!$C$4:$AB$4&gt;=$K24)*('Cost baseline'!$C$4:$AB$4&lt;=$L24)*('Cost baseline'!$C$5:$AB$5=P$4))/($L24-$K24+1))</f>
        <v>5</v>
      </c>
      <c r="Q24" s="44">
        <f>IF($J24=0,0,$J24*SUMPRODUCT(('Cost baseline'!$C$4:$AB$4&gt;=$K24)*('Cost baseline'!$C$4:$AB$4&lt;=$L24)*('Cost baseline'!$C$5:$AB$5=Q$4))/($L24-$K24+1))</f>
        <v>0</v>
      </c>
      <c r="R24" s="44">
        <f>IF($J24=0,0,$J24*SUMPRODUCT(('Cost baseline'!$C$4:$AB$4&gt;=$K24)*('Cost baseline'!$C$4:$AB$4&lt;=$L24)*('Cost baseline'!$C$5:$AB$5=R$4))/($L24-$K24+1))</f>
        <v>0</v>
      </c>
    </row>
    <row r="25" spans="2:18" ht="18" customHeight="1" x14ac:dyDescent="0.3">
      <c r="B25" s="13" t="s">
        <v>70</v>
      </c>
      <c r="C25" s="13" t="str">
        <f>IFERROR(INDEX(WBS!$F$5:$F$44,MATCH($B25,WBS!$B$5:$B$44,0)),"")</f>
        <v>E</v>
      </c>
      <c r="D25" s="40" t="s">
        <v>291</v>
      </c>
      <c r="E25" s="40" t="s">
        <v>289</v>
      </c>
      <c r="F25" s="13"/>
      <c r="G25" s="51">
        <v>2</v>
      </c>
      <c r="H25" s="40" t="s">
        <v>292</v>
      </c>
      <c r="I25" s="41">
        <v>3</v>
      </c>
      <c r="J25" s="44">
        <f t="shared" si="0"/>
        <v>6</v>
      </c>
      <c r="K25" s="54">
        <v>9</v>
      </c>
      <c r="L25" s="54">
        <v>16</v>
      </c>
      <c r="M25" s="44">
        <f>IF($J25=0,0,$J25*SUMPRODUCT(('Cost baseline'!$C$4:$AB$4&gt;=$K25)*('Cost baseline'!$C$4:$AB$4&lt;=$L25)*('Cost baseline'!$C$5:$AB$5=M$4))/($L25-$K25+1))</f>
        <v>0</v>
      </c>
      <c r="N25" s="44">
        <f>IF($J25=0,0,$J25*SUMPRODUCT(('Cost baseline'!$C$4:$AB$4&gt;=$K25)*('Cost baseline'!$C$4:$AB$4&lt;=$L25)*('Cost baseline'!$C$5:$AB$5=N$4))/($L25-$K25+1))</f>
        <v>0.75</v>
      </c>
      <c r="O25" s="44">
        <f>IF($J25=0,0,$J25*SUMPRODUCT(('Cost baseline'!$C$4:$AB$4&gt;=$K25)*('Cost baseline'!$C$4:$AB$4&lt;=$L25)*('Cost baseline'!$C$5:$AB$5=O$4))/($L25-$K25+1))</f>
        <v>3</v>
      </c>
      <c r="P25" s="44">
        <f>IF($J25=0,0,$J25*SUMPRODUCT(('Cost baseline'!$C$4:$AB$4&gt;=$K25)*('Cost baseline'!$C$4:$AB$4&lt;=$L25)*('Cost baseline'!$C$5:$AB$5=P$4))/($L25-$K25+1))</f>
        <v>2.25</v>
      </c>
      <c r="Q25" s="44">
        <f>IF($J25=0,0,$J25*SUMPRODUCT(('Cost baseline'!$C$4:$AB$4&gt;=$K25)*('Cost baseline'!$C$4:$AB$4&lt;=$L25)*('Cost baseline'!$C$5:$AB$5=Q$4))/($L25-$K25+1))</f>
        <v>0</v>
      </c>
      <c r="R25" s="44">
        <f>IF($J25=0,0,$J25*SUMPRODUCT(('Cost baseline'!$C$4:$AB$4&gt;=$K25)*('Cost baseline'!$C$4:$AB$4&lt;=$L25)*('Cost baseline'!$C$5:$AB$5=R$4))/($L25-$K25+1))</f>
        <v>0</v>
      </c>
    </row>
    <row r="26" spans="2:18" ht="18" customHeight="1" x14ac:dyDescent="0.3">
      <c r="B26" s="13" t="s">
        <v>77</v>
      </c>
      <c r="C26" s="13" t="str">
        <f>IFERROR(INDEX(WBS!$F$5:$F$44,MATCH($B26,WBS!$B$5:$B$44,0)),"")</f>
        <v>F</v>
      </c>
      <c r="D26" s="40" t="s">
        <v>293</v>
      </c>
      <c r="E26" s="40" t="s">
        <v>269</v>
      </c>
      <c r="F26" s="13" t="s">
        <v>230</v>
      </c>
      <c r="G26" s="51">
        <v>25</v>
      </c>
      <c r="H26" s="40" t="s">
        <v>270</v>
      </c>
      <c r="I26" s="53">
        <f>INDEX('Nguồn lực'!$D$5:$D$8,MATCH($F26,'Nguồn lực'!$B$5:$B$8,0))</f>
        <v>2</v>
      </c>
      <c r="J26" s="44">
        <f t="shared" si="0"/>
        <v>50</v>
      </c>
      <c r="K26" s="55">
        <f>INDEX('Hoạt động, lịch'!$L$5:$L$26,MATCH($C26,'Hoạt động, lịch'!$B$5:$B$26,0))+1</f>
        <v>9</v>
      </c>
      <c r="L26" s="55">
        <f>INDEX('Hoạt động, lịch'!$M$5:$M$26,MATCH($C26,'Hoạt động, lịch'!$B$5:$B$26,0))</f>
        <v>13</v>
      </c>
      <c r="M26" s="44">
        <f>IF($J26=0,0,$J26*SUMPRODUCT(('Cost baseline'!$C$4:$AB$4&gt;=$K26)*('Cost baseline'!$C$4:$AB$4&lt;=$L26)*('Cost baseline'!$C$5:$AB$5=M$4))/($L26-$K26+1))</f>
        <v>0</v>
      </c>
      <c r="N26" s="44">
        <f>IF($J26=0,0,$J26*SUMPRODUCT(('Cost baseline'!$C$4:$AB$4&gt;=$K26)*('Cost baseline'!$C$4:$AB$4&lt;=$L26)*('Cost baseline'!$C$5:$AB$5=N$4))/($L26-$K26+1))</f>
        <v>10</v>
      </c>
      <c r="O26" s="44">
        <f>IF($J26=0,0,$J26*SUMPRODUCT(('Cost baseline'!$C$4:$AB$4&gt;=$K26)*('Cost baseline'!$C$4:$AB$4&lt;=$L26)*('Cost baseline'!$C$5:$AB$5=O$4))/($L26-$K26+1))</f>
        <v>40</v>
      </c>
      <c r="P26" s="44">
        <f>IF($J26=0,0,$J26*SUMPRODUCT(('Cost baseline'!$C$4:$AB$4&gt;=$K26)*('Cost baseline'!$C$4:$AB$4&lt;=$L26)*('Cost baseline'!$C$5:$AB$5=P$4))/($L26-$K26+1))</f>
        <v>0</v>
      </c>
      <c r="Q26" s="44">
        <f>IF($J26=0,0,$J26*SUMPRODUCT(('Cost baseline'!$C$4:$AB$4&gt;=$K26)*('Cost baseline'!$C$4:$AB$4&lt;=$L26)*('Cost baseline'!$C$5:$AB$5=Q$4))/($L26-$K26+1))</f>
        <v>0</v>
      </c>
      <c r="R26" s="44">
        <f>IF($J26=0,0,$J26*SUMPRODUCT(('Cost baseline'!$C$4:$AB$4&gt;=$K26)*('Cost baseline'!$C$4:$AB$4&lt;=$L26)*('Cost baseline'!$C$5:$AB$5=R$4))/($L26-$K26+1))</f>
        <v>0</v>
      </c>
    </row>
    <row r="27" spans="2:18" ht="18" customHeight="1" x14ac:dyDescent="0.3">
      <c r="B27" s="13" t="s">
        <v>77</v>
      </c>
      <c r="C27" s="13" t="str">
        <f>IFERROR(INDEX(WBS!$F$5:$F$44,MATCH($B27,WBS!$B$5:$B$44,0)),"")</f>
        <v>F</v>
      </c>
      <c r="D27" s="40" t="s">
        <v>294</v>
      </c>
      <c r="E27" s="40" t="s">
        <v>289</v>
      </c>
      <c r="F27" s="13"/>
      <c r="G27" s="51">
        <v>5</v>
      </c>
      <c r="H27" s="40" t="s">
        <v>295</v>
      </c>
      <c r="I27" s="41">
        <v>3</v>
      </c>
      <c r="J27" s="44">
        <f t="shared" si="0"/>
        <v>15</v>
      </c>
      <c r="K27" s="55">
        <f>INDEX('Hoạt động, lịch'!$L$5:$L$26,MATCH($C27,'Hoạt động, lịch'!$B$5:$B$26,0))+1</f>
        <v>9</v>
      </c>
      <c r="L27" s="55">
        <f>INDEX('Hoạt động, lịch'!$M$5:$M$26,MATCH($C27,'Hoạt động, lịch'!$B$5:$B$26,0))</f>
        <v>13</v>
      </c>
      <c r="M27" s="44">
        <f>IF($J27=0,0,$J27*SUMPRODUCT(('Cost baseline'!$C$4:$AB$4&gt;=$K27)*('Cost baseline'!$C$4:$AB$4&lt;=$L27)*('Cost baseline'!$C$5:$AB$5=M$4))/($L27-$K27+1))</f>
        <v>0</v>
      </c>
      <c r="N27" s="44">
        <f>IF($J27=0,0,$J27*SUMPRODUCT(('Cost baseline'!$C$4:$AB$4&gt;=$K27)*('Cost baseline'!$C$4:$AB$4&lt;=$L27)*('Cost baseline'!$C$5:$AB$5=N$4))/($L27-$K27+1))</f>
        <v>3</v>
      </c>
      <c r="O27" s="44">
        <f>IF($J27=0,0,$J27*SUMPRODUCT(('Cost baseline'!$C$4:$AB$4&gt;=$K27)*('Cost baseline'!$C$4:$AB$4&lt;=$L27)*('Cost baseline'!$C$5:$AB$5=O$4))/($L27-$K27+1))</f>
        <v>12</v>
      </c>
      <c r="P27" s="44">
        <f>IF($J27=0,0,$J27*SUMPRODUCT(('Cost baseline'!$C$4:$AB$4&gt;=$K27)*('Cost baseline'!$C$4:$AB$4&lt;=$L27)*('Cost baseline'!$C$5:$AB$5=P$4))/($L27-$K27+1))</f>
        <v>0</v>
      </c>
      <c r="Q27" s="44">
        <f>IF($J27=0,0,$J27*SUMPRODUCT(('Cost baseline'!$C$4:$AB$4&gt;=$K27)*('Cost baseline'!$C$4:$AB$4&lt;=$L27)*('Cost baseline'!$C$5:$AB$5=Q$4))/($L27-$K27+1))</f>
        <v>0</v>
      </c>
      <c r="R27" s="44">
        <f>IF($J27=0,0,$J27*SUMPRODUCT(('Cost baseline'!$C$4:$AB$4&gt;=$K27)*('Cost baseline'!$C$4:$AB$4&lt;=$L27)*('Cost baseline'!$C$5:$AB$5=R$4))/($L27-$K27+1))</f>
        <v>0</v>
      </c>
    </row>
    <row r="28" spans="2:18" ht="18" customHeight="1" x14ac:dyDescent="0.3">
      <c r="B28" s="13" t="s">
        <v>77</v>
      </c>
      <c r="C28" s="13" t="str">
        <f>IFERROR(INDEX(WBS!$F$5:$F$44,MATCH($B28,WBS!$B$5:$B$44,0)),"")</f>
        <v>F</v>
      </c>
      <c r="D28" s="40" t="s">
        <v>296</v>
      </c>
      <c r="E28" s="40" t="s">
        <v>289</v>
      </c>
      <c r="F28" s="13"/>
      <c r="G28" s="51">
        <v>1</v>
      </c>
      <c r="H28" s="40" t="s">
        <v>290</v>
      </c>
      <c r="I28" s="41">
        <v>10</v>
      </c>
      <c r="J28" s="44">
        <f t="shared" si="0"/>
        <v>10</v>
      </c>
      <c r="K28" s="55">
        <f>INDEX('Hoạt động, lịch'!$L$5:$L$26,MATCH($C28,'Hoạt động, lịch'!$B$5:$B$26,0))+1</f>
        <v>9</v>
      </c>
      <c r="L28" s="55">
        <f>INDEX('Hoạt động, lịch'!$M$5:$M$26,MATCH($C28,'Hoạt động, lịch'!$B$5:$B$26,0))</f>
        <v>13</v>
      </c>
      <c r="M28" s="44">
        <f>IF($J28=0,0,$J28*SUMPRODUCT(('Cost baseline'!$C$4:$AB$4&gt;=$K28)*('Cost baseline'!$C$4:$AB$4&lt;=$L28)*('Cost baseline'!$C$5:$AB$5=M$4))/($L28-$K28+1))</f>
        <v>0</v>
      </c>
      <c r="N28" s="44">
        <f>IF($J28=0,0,$J28*SUMPRODUCT(('Cost baseline'!$C$4:$AB$4&gt;=$K28)*('Cost baseline'!$C$4:$AB$4&lt;=$L28)*('Cost baseline'!$C$5:$AB$5=N$4))/($L28-$K28+1))</f>
        <v>2</v>
      </c>
      <c r="O28" s="44">
        <f>IF($J28=0,0,$J28*SUMPRODUCT(('Cost baseline'!$C$4:$AB$4&gt;=$K28)*('Cost baseline'!$C$4:$AB$4&lt;=$L28)*('Cost baseline'!$C$5:$AB$5=O$4))/($L28-$K28+1))</f>
        <v>8</v>
      </c>
      <c r="P28" s="44">
        <f>IF($J28=0,0,$J28*SUMPRODUCT(('Cost baseline'!$C$4:$AB$4&gt;=$K28)*('Cost baseline'!$C$4:$AB$4&lt;=$L28)*('Cost baseline'!$C$5:$AB$5=P$4))/($L28-$K28+1))</f>
        <v>0</v>
      </c>
      <c r="Q28" s="44">
        <f>IF($J28=0,0,$J28*SUMPRODUCT(('Cost baseline'!$C$4:$AB$4&gt;=$K28)*('Cost baseline'!$C$4:$AB$4&lt;=$L28)*('Cost baseline'!$C$5:$AB$5=Q$4))/($L28-$K28+1))</f>
        <v>0</v>
      </c>
      <c r="R28" s="44">
        <f>IF($J28=0,0,$J28*SUMPRODUCT(('Cost baseline'!$C$4:$AB$4&gt;=$K28)*('Cost baseline'!$C$4:$AB$4&lt;=$L28)*('Cost baseline'!$C$5:$AB$5=R$4))/($L28-$K28+1))</f>
        <v>0</v>
      </c>
    </row>
    <row r="29" spans="2:18" ht="18" customHeight="1" x14ac:dyDescent="0.3">
      <c r="B29" s="13" t="s">
        <v>77</v>
      </c>
      <c r="C29" s="13" t="str">
        <f>IFERROR(INDEX(WBS!$F$5:$F$44,MATCH($B29,WBS!$B$5:$B$44,0)),"")</f>
        <v>F</v>
      </c>
      <c r="D29" s="40" t="s">
        <v>297</v>
      </c>
      <c r="E29" s="40" t="s">
        <v>289</v>
      </c>
      <c r="F29" s="13"/>
      <c r="G29" s="51">
        <v>1</v>
      </c>
      <c r="H29" s="40" t="s">
        <v>298</v>
      </c>
      <c r="I29" s="41">
        <v>24</v>
      </c>
      <c r="J29" s="44">
        <f t="shared" si="0"/>
        <v>24</v>
      </c>
      <c r="K29" s="55">
        <f>INDEX('Hoạt động, lịch'!$L$5:$L$26,MATCH($C29,'Hoạt động, lịch'!$B$5:$B$26,0))+1</f>
        <v>9</v>
      </c>
      <c r="L29" s="55">
        <f>INDEX('Hoạt động, lịch'!$M$5:$M$26,MATCH($C29,'Hoạt động, lịch'!$B$5:$B$26,0))</f>
        <v>13</v>
      </c>
      <c r="M29" s="44">
        <f>IF($J29=0,0,$J29*SUMPRODUCT(('Cost baseline'!$C$4:$AB$4&gt;=$K29)*('Cost baseline'!$C$4:$AB$4&lt;=$L29)*('Cost baseline'!$C$5:$AB$5=M$4))/($L29-$K29+1))</f>
        <v>0</v>
      </c>
      <c r="N29" s="44">
        <f>IF($J29=0,0,$J29*SUMPRODUCT(('Cost baseline'!$C$4:$AB$4&gt;=$K29)*('Cost baseline'!$C$4:$AB$4&lt;=$L29)*('Cost baseline'!$C$5:$AB$5=N$4))/($L29-$K29+1))</f>
        <v>4.8</v>
      </c>
      <c r="O29" s="44">
        <f>IF($J29=0,0,$J29*SUMPRODUCT(('Cost baseline'!$C$4:$AB$4&gt;=$K29)*('Cost baseline'!$C$4:$AB$4&lt;=$L29)*('Cost baseline'!$C$5:$AB$5=O$4))/($L29-$K29+1))</f>
        <v>19.2</v>
      </c>
      <c r="P29" s="44">
        <f>IF($J29=0,0,$J29*SUMPRODUCT(('Cost baseline'!$C$4:$AB$4&gt;=$K29)*('Cost baseline'!$C$4:$AB$4&lt;=$L29)*('Cost baseline'!$C$5:$AB$5=P$4))/($L29-$K29+1))</f>
        <v>0</v>
      </c>
      <c r="Q29" s="44">
        <f>IF($J29=0,0,$J29*SUMPRODUCT(('Cost baseline'!$C$4:$AB$4&gt;=$K29)*('Cost baseline'!$C$4:$AB$4&lt;=$L29)*('Cost baseline'!$C$5:$AB$5=Q$4))/($L29-$K29+1))</f>
        <v>0</v>
      </c>
      <c r="R29" s="44">
        <f>IF($J29=0,0,$J29*SUMPRODUCT(('Cost baseline'!$C$4:$AB$4&gt;=$K29)*('Cost baseline'!$C$4:$AB$4&lt;=$L29)*('Cost baseline'!$C$5:$AB$5=R$4))/($L29-$K29+1))</f>
        <v>0</v>
      </c>
    </row>
    <row r="30" spans="2:18" ht="18" customHeight="1" x14ac:dyDescent="0.3">
      <c r="B30" s="13" t="s">
        <v>77</v>
      </c>
      <c r="C30" s="13" t="str">
        <f>IFERROR(INDEX(WBS!$F$5:$F$44,MATCH($B30,WBS!$B$5:$B$44,0)),"")</f>
        <v>F</v>
      </c>
      <c r="D30" s="40" t="s">
        <v>299</v>
      </c>
      <c r="E30" s="40" t="s">
        <v>289</v>
      </c>
      <c r="F30" s="13"/>
      <c r="G30" s="51">
        <v>1</v>
      </c>
      <c r="H30" s="40" t="s">
        <v>290</v>
      </c>
      <c r="I30" s="41">
        <v>5</v>
      </c>
      <c r="J30" s="44">
        <f t="shared" si="0"/>
        <v>5</v>
      </c>
      <c r="K30" s="55">
        <f>INDEX('Hoạt động, lịch'!$L$5:$L$26,MATCH($C30,'Hoạt động, lịch'!$B$5:$B$26,0))+1</f>
        <v>9</v>
      </c>
      <c r="L30" s="55">
        <f>INDEX('Hoạt động, lịch'!$M$5:$M$26,MATCH($C30,'Hoạt động, lịch'!$B$5:$B$26,0))</f>
        <v>13</v>
      </c>
      <c r="M30" s="44">
        <f>IF($J30=0,0,$J30*SUMPRODUCT(('Cost baseline'!$C$4:$AB$4&gt;=$K30)*('Cost baseline'!$C$4:$AB$4&lt;=$L30)*('Cost baseline'!$C$5:$AB$5=M$4))/($L30-$K30+1))</f>
        <v>0</v>
      </c>
      <c r="N30" s="44">
        <f>IF($J30=0,0,$J30*SUMPRODUCT(('Cost baseline'!$C$4:$AB$4&gt;=$K30)*('Cost baseline'!$C$4:$AB$4&lt;=$L30)*('Cost baseline'!$C$5:$AB$5=N$4))/($L30-$K30+1))</f>
        <v>1</v>
      </c>
      <c r="O30" s="44">
        <f>IF($J30=0,0,$J30*SUMPRODUCT(('Cost baseline'!$C$4:$AB$4&gt;=$K30)*('Cost baseline'!$C$4:$AB$4&lt;=$L30)*('Cost baseline'!$C$5:$AB$5=O$4))/($L30-$K30+1))</f>
        <v>4</v>
      </c>
      <c r="P30" s="44">
        <f>IF($J30=0,0,$J30*SUMPRODUCT(('Cost baseline'!$C$4:$AB$4&gt;=$K30)*('Cost baseline'!$C$4:$AB$4&lt;=$L30)*('Cost baseline'!$C$5:$AB$5=P$4))/($L30-$K30+1))</f>
        <v>0</v>
      </c>
      <c r="Q30" s="44">
        <f>IF($J30=0,0,$J30*SUMPRODUCT(('Cost baseline'!$C$4:$AB$4&gt;=$K30)*('Cost baseline'!$C$4:$AB$4&lt;=$L30)*('Cost baseline'!$C$5:$AB$5=Q$4))/($L30-$K30+1))</f>
        <v>0</v>
      </c>
      <c r="R30" s="44">
        <f>IF($J30=0,0,$J30*SUMPRODUCT(('Cost baseline'!$C$4:$AB$4&gt;=$K30)*('Cost baseline'!$C$4:$AB$4&lt;=$L30)*('Cost baseline'!$C$5:$AB$5=R$4))/($L30-$K30+1))</f>
        <v>0</v>
      </c>
    </row>
    <row r="31" spans="2:18" ht="18" customHeight="1" x14ac:dyDescent="0.3">
      <c r="B31" s="13" t="s">
        <v>81</v>
      </c>
      <c r="C31" s="13" t="str">
        <f>IFERROR(INDEX(WBS!$F$5:$F$44,MATCH($B31,WBS!$B$5:$B$44,0)),"")</f>
        <v>G</v>
      </c>
      <c r="D31" s="40" t="s">
        <v>300</v>
      </c>
      <c r="E31" s="40" t="s">
        <v>269</v>
      </c>
      <c r="F31" s="13" t="s">
        <v>230</v>
      </c>
      <c r="G31" s="51">
        <v>20</v>
      </c>
      <c r="H31" s="40" t="s">
        <v>270</v>
      </c>
      <c r="I31" s="53">
        <f>INDEX('Nguồn lực'!$D$5:$D$8,MATCH($F31,'Nguồn lực'!$B$5:$B$8,0))</f>
        <v>2</v>
      </c>
      <c r="J31" s="44">
        <f t="shared" si="0"/>
        <v>40</v>
      </c>
      <c r="K31" s="55">
        <f>INDEX('Hoạt động, lịch'!$L$5:$L$26,MATCH($C31,'Hoạt động, lịch'!$B$5:$B$26,0))+1</f>
        <v>9</v>
      </c>
      <c r="L31" s="55">
        <f>INDEX('Hoạt động, lịch'!$M$5:$M$26,MATCH($C31,'Hoạt động, lịch'!$B$5:$B$26,0))</f>
        <v>12</v>
      </c>
      <c r="M31" s="44">
        <f>IF($J31=0,0,$J31*SUMPRODUCT(('Cost baseline'!$C$4:$AB$4&gt;=$K31)*('Cost baseline'!$C$4:$AB$4&lt;=$L31)*('Cost baseline'!$C$5:$AB$5=M$4))/($L31-$K31+1))</f>
        <v>0</v>
      </c>
      <c r="N31" s="44">
        <f>IF($J31=0,0,$J31*SUMPRODUCT(('Cost baseline'!$C$4:$AB$4&gt;=$K31)*('Cost baseline'!$C$4:$AB$4&lt;=$L31)*('Cost baseline'!$C$5:$AB$5=N$4))/($L31-$K31+1))</f>
        <v>10</v>
      </c>
      <c r="O31" s="44">
        <f>IF($J31=0,0,$J31*SUMPRODUCT(('Cost baseline'!$C$4:$AB$4&gt;=$K31)*('Cost baseline'!$C$4:$AB$4&lt;=$L31)*('Cost baseline'!$C$5:$AB$5=O$4))/($L31-$K31+1))</f>
        <v>30</v>
      </c>
      <c r="P31" s="44">
        <f>IF($J31=0,0,$J31*SUMPRODUCT(('Cost baseline'!$C$4:$AB$4&gt;=$K31)*('Cost baseline'!$C$4:$AB$4&lt;=$L31)*('Cost baseline'!$C$5:$AB$5=P$4))/($L31-$K31+1))</f>
        <v>0</v>
      </c>
      <c r="Q31" s="44">
        <f>IF($J31=0,0,$J31*SUMPRODUCT(('Cost baseline'!$C$4:$AB$4&gt;=$K31)*('Cost baseline'!$C$4:$AB$4&lt;=$L31)*('Cost baseline'!$C$5:$AB$5=Q$4))/($L31-$K31+1))</f>
        <v>0</v>
      </c>
      <c r="R31" s="44">
        <f>IF($J31=0,0,$J31*SUMPRODUCT(('Cost baseline'!$C$4:$AB$4&gt;=$K31)*('Cost baseline'!$C$4:$AB$4&lt;=$L31)*('Cost baseline'!$C$5:$AB$5=R$4))/($L31-$K31+1))</f>
        <v>0</v>
      </c>
    </row>
    <row r="32" spans="2:18" ht="18" customHeight="1" x14ac:dyDescent="0.3">
      <c r="B32" s="13" t="s">
        <v>81</v>
      </c>
      <c r="C32" s="13" t="str">
        <f>IFERROR(INDEX(WBS!$F$5:$F$44,MATCH($B32,WBS!$B$5:$B$44,0)),"")</f>
        <v>G</v>
      </c>
      <c r="D32" s="40" t="s">
        <v>301</v>
      </c>
      <c r="E32" s="40" t="s">
        <v>289</v>
      </c>
      <c r="F32" s="13"/>
      <c r="G32" s="51">
        <v>1</v>
      </c>
      <c r="H32" s="40" t="s">
        <v>290</v>
      </c>
      <c r="I32" s="41">
        <v>12</v>
      </c>
      <c r="J32" s="44">
        <f t="shared" si="0"/>
        <v>12</v>
      </c>
      <c r="K32" s="55">
        <f>INDEX('Hoạt động, lịch'!$L$5:$L$26,MATCH($C32,'Hoạt động, lịch'!$B$5:$B$26,0))+1</f>
        <v>9</v>
      </c>
      <c r="L32" s="55">
        <f>INDEX('Hoạt động, lịch'!$M$5:$M$26,MATCH($C32,'Hoạt động, lịch'!$B$5:$B$26,0))</f>
        <v>12</v>
      </c>
      <c r="M32" s="44">
        <f>IF($J32=0,0,$J32*SUMPRODUCT(('Cost baseline'!$C$4:$AB$4&gt;=$K32)*('Cost baseline'!$C$4:$AB$4&lt;=$L32)*('Cost baseline'!$C$5:$AB$5=M$4))/($L32-$K32+1))</f>
        <v>0</v>
      </c>
      <c r="N32" s="44">
        <f>IF($J32=0,0,$J32*SUMPRODUCT(('Cost baseline'!$C$4:$AB$4&gt;=$K32)*('Cost baseline'!$C$4:$AB$4&lt;=$L32)*('Cost baseline'!$C$5:$AB$5=N$4))/($L32-$K32+1))</f>
        <v>3</v>
      </c>
      <c r="O32" s="44">
        <f>IF($J32=0,0,$J32*SUMPRODUCT(('Cost baseline'!$C$4:$AB$4&gt;=$K32)*('Cost baseline'!$C$4:$AB$4&lt;=$L32)*('Cost baseline'!$C$5:$AB$5=O$4))/($L32-$K32+1))</f>
        <v>9</v>
      </c>
      <c r="P32" s="44">
        <f>IF($J32=0,0,$J32*SUMPRODUCT(('Cost baseline'!$C$4:$AB$4&gt;=$K32)*('Cost baseline'!$C$4:$AB$4&lt;=$L32)*('Cost baseline'!$C$5:$AB$5=P$4))/($L32-$K32+1))</f>
        <v>0</v>
      </c>
      <c r="Q32" s="44">
        <f>IF($J32=0,0,$J32*SUMPRODUCT(('Cost baseline'!$C$4:$AB$4&gt;=$K32)*('Cost baseline'!$C$4:$AB$4&lt;=$L32)*('Cost baseline'!$C$5:$AB$5=Q$4))/($L32-$K32+1))</f>
        <v>0</v>
      </c>
      <c r="R32" s="44">
        <f>IF($J32=0,0,$J32*SUMPRODUCT(('Cost baseline'!$C$4:$AB$4&gt;=$K32)*('Cost baseline'!$C$4:$AB$4&lt;=$L32)*('Cost baseline'!$C$5:$AB$5=R$4))/($L32-$K32+1))</f>
        <v>0</v>
      </c>
    </row>
    <row r="33" spans="2:18" ht="18" customHeight="1" x14ac:dyDescent="0.3">
      <c r="B33" s="13" t="s">
        <v>88</v>
      </c>
      <c r="C33" s="13" t="str">
        <f>IFERROR(INDEX(WBS!$F$5:$F$44,MATCH($B33,WBS!$B$5:$B$44,0)),"")</f>
        <v>H</v>
      </c>
      <c r="D33" s="40" t="s">
        <v>302</v>
      </c>
      <c r="E33" s="40" t="s">
        <v>269</v>
      </c>
      <c r="F33" s="13" t="s">
        <v>242</v>
      </c>
      <c r="G33" s="51">
        <v>6</v>
      </c>
      <c r="H33" s="40" t="s">
        <v>270</v>
      </c>
      <c r="I33" s="53">
        <f>INDEX('Nguồn lực'!$D$5:$D$8,MATCH($F33,'Nguồn lực'!$B$5:$B$8,0))</f>
        <v>1</v>
      </c>
      <c r="J33" s="44">
        <f t="shared" si="0"/>
        <v>6</v>
      </c>
      <c r="K33" s="55">
        <f>INDEX('Hoạt động, lịch'!$L$5:$L$26,MATCH($C33,'Hoạt động, lịch'!$B$5:$B$26,0))+1</f>
        <v>9</v>
      </c>
      <c r="L33" s="55">
        <f>INDEX('Hoạt động, lịch'!$M$5:$M$26,MATCH($C33,'Hoạt động, lịch'!$B$5:$B$26,0))</f>
        <v>12</v>
      </c>
      <c r="M33" s="44">
        <f>IF($J33=0,0,$J33*SUMPRODUCT(('Cost baseline'!$C$4:$AB$4&gt;=$K33)*('Cost baseline'!$C$4:$AB$4&lt;=$L33)*('Cost baseline'!$C$5:$AB$5=M$4))/($L33-$K33+1))</f>
        <v>0</v>
      </c>
      <c r="N33" s="44">
        <f>IF($J33=0,0,$J33*SUMPRODUCT(('Cost baseline'!$C$4:$AB$4&gt;=$K33)*('Cost baseline'!$C$4:$AB$4&lt;=$L33)*('Cost baseline'!$C$5:$AB$5=N$4))/($L33-$K33+1))</f>
        <v>1.5</v>
      </c>
      <c r="O33" s="44">
        <f>IF($J33=0,0,$J33*SUMPRODUCT(('Cost baseline'!$C$4:$AB$4&gt;=$K33)*('Cost baseline'!$C$4:$AB$4&lt;=$L33)*('Cost baseline'!$C$5:$AB$5=O$4))/($L33-$K33+1))</f>
        <v>4.5</v>
      </c>
      <c r="P33" s="44">
        <f>IF($J33=0,0,$J33*SUMPRODUCT(('Cost baseline'!$C$4:$AB$4&gt;=$K33)*('Cost baseline'!$C$4:$AB$4&lt;=$L33)*('Cost baseline'!$C$5:$AB$5=P$4))/($L33-$K33+1))</f>
        <v>0</v>
      </c>
      <c r="Q33" s="44">
        <f>IF($J33=0,0,$J33*SUMPRODUCT(('Cost baseline'!$C$4:$AB$4&gt;=$K33)*('Cost baseline'!$C$4:$AB$4&lt;=$L33)*('Cost baseline'!$C$5:$AB$5=Q$4))/($L33-$K33+1))</f>
        <v>0</v>
      </c>
      <c r="R33" s="44">
        <f>IF($J33=0,0,$J33*SUMPRODUCT(('Cost baseline'!$C$4:$AB$4&gt;=$K33)*('Cost baseline'!$C$4:$AB$4&lt;=$L33)*('Cost baseline'!$C$5:$AB$5=R$4))/($L33-$K33+1))</f>
        <v>0</v>
      </c>
    </row>
    <row r="34" spans="2:18" ht="18" customHeight="1" x14ac:dyDescent="0.3">
      <c r="B34" s="13" t="s">
        <v>88</v>
      </c>
      <c r="C34" s="13" t="str">
        <f>IFERROR(INDEX(WBS!$F$5:$F$44,MATCH($B34,WBS!$B$5:$B$44,0)),"")</f>
        <v>H</v>
      </c>
      <c r="D34" s="40" t="s">
        <v>303</v>
      </c>
      <c r="E34" s="40" t="s">
        <v>304</v>
      </c>
      <c r="F34" s="13"/>
      <c r="G34" s="51">
        <v>1</v>
      </c>
      <c r="H34" s="40" t="s">
        <v>295</v>
      </c>
      <c r="I34" s="53">
        <f>'Nguồn lực'!$F$22</f>
        <v>92</v>
      </c>
      <c r="J34" s="44">
        <f t="shared" si="0"/>
        <v>92</v>
      </c>
      <c r="K34" s="55">
        <f>INDEX('Hoạt động, lịch'!$L$5:$L$26,MATCH($C34,'Hoạt động, lịch'!$B$5:$B$26,0))+1</f>
        <v>9</v>
      </c>
      <c r="L34" s="55">
        <f>INDEX('Hoạt động, lịch'!$M$5:$M$26,MATCH($C34,'Hoạt động, lịch'!$B$5:$B$26,0))</f>
        <v>12</v>
      </c>
      <c r="M34" s="44">
        <f>IF($J34=0,0,$J34*SUMPRODUCT(('Cost baseline'!$C$4:$AB$4&gt;=$K34)*('Cost baseline'!$C$4:$AB$4&lt;=$L34)*('Cost baseline'!$C$5:$AB$5=M$4))/($L34-$K34+1))</f>
        <v>0</v>
      </c>
      <c r="N34" s="44">
        <f>IF($J34=0,0,$J34*SUMPRODUCT(('Cost baseline'!$C$4:$AB$4&gt;=$K34)*('Cost baseline'!$C$4:$AB$4&lt;=$L34)*('Cost baseline'!$C$5:$AB$5=N$4))/($L34-$K34+1))</f>
        <v>23</v>
      </c>
      <c r="O34" s="44">
        <f>IF($J34=0,0,$J34*SUMPRODUCT(('Cost baseline'!$C$4:$AB$4&gt;=$K34)*('Cost baseline'!$C$4:$AB$4&lt;=$L34)*('Cost baseline'!$C$5:$AB$5=O$4))/($L34-$K34+1))</f>
        <v>69</v>
      </c>
      <c r="P34" s="44">
        <f>IF($J34=0,0,$J34*SUMPRODUCT(('Cost baseline'!$C$4:$AB$4&gt;=$K34)*('Cost baseline'!$C$4:$AB$4&lt;=$L34)*('Cost baseline'!$C$5:$AB$5=P$4))/($L34-$K34+1))</f>
        <v>0</v>
      </c>
      <c r="Q34" s="44">
        <f>IF($J34=0,0,$J34*SUMPRODUCT(('Cost baseline'!$C$4:$AB$4&gt;=$K34)*('Cost baseline'!$C$4:$AB$4&lt;=$L34)*('Cost baseline'!$C$5:$AB$5=Q$4))/($L34-$K34+1))</f>
        <v>0</v>
      </c>
      <c r="R34" s="44">
        <f>IF($J34=0,0,$J34*SUMPRODUCT(('Cost baseline'!$C$4:$AB$4&gt;=$K34)*('Cost baseline'!$C$4:$AB$4&lt;=$L34)*('Cost baseline'!$C$5:$AB$5=R$4))/($L34-$K34+1))</f>
        <v>0</v>
      </c>
    </row>
    <row r="35" spans="2:18" ht="18" customHeight="1" x14ac:dyDescent="0.3">
      <c r="B35" s="13" t="s">
        <v>88</v>
      </c>
      <c r="C35" s="13" t="str">
        <f>IFERROR(INDEX(WBS!$F$5:$F$44,MATCH($B35,WBS!$B$5:$B$44,0)),"")</f>
        <v>H</v>
      </c>
      <c r="D35" s="40" t="s">
        <v>305</v>
      </c>
      <c r="E35" s="40" t="s">
        <v>304</v>
      </c>
      <c r="F35" s="13"/>
      <c r="G35" s="51">
        <v>1</v>
      </c>
      <c r="H35" s="40" t="s">
        <v>306</v>
      </c>
      <c r="I35" s="41">
        <v>20</v>
      </c>
      <c r="J35" s="44">
        <f t="shared" si="0"/>
        <v>20</v>
      </c>
      <c r="K35" s="55">
        <f>INDEX('Hoạt động, lịch'!$L$5:$L$26,MATCH($C35,'Hoạt động, lịch'!$B$5:$B$26,0))+1</f>
        <v>9</v>
      </c>
      <c r="L35" s="55">
        <f>INDEX('Hoạt động, lịch'!$M$5:$M$26,MATCH($C35,'Hoạt động, lịch'!$B$5:$B$26,0))</f>
        <v>12</v>
      </c>
      <c r="M35" s="44">
        <f>IF($J35=0,0,$J35*SUMPRODUCT(('Cost baseline'!$C$4:$AB$4&gt;=$K35)*('Cost baseline'!$C$4:$AB$4&lt;=$L35)*('Cost baseline'!$C$5:$AB$5=M$4))/($L35-$K35+1))</f>
        <v>0</v>
      </c>
      <c r="N35" s="44">
        <f>IF($J35=0,0,$J35*SUMPRODUCT(('Cost baseline'!$C$4:$AB$4&gt;=$K35)*('Cost baseline'!$C$4:$AB$4&lt;=$L35)*('Cost baseline'!$C$5:$AB$5=N$4))/($L35-$K35+1))</f>
        <v>5</v>
      </c>
      <c r="O35" s="44">
        <f>IF($J35=0,0,$J35*SUMPRODUCT(('Cost baseline'!$C$4:$AB$4&gt;=$K35)*('Cost baseline'!$C$4:$AB$4&lt;=$L35)*('Cost baseline'!$C$5:$AB$5=O$4))/($L35-$K35+1))</f>
        <v>15</v>
      </c>
      <c r="P35" s="44">
        <f>IF($J35=0,0,$J35*SUMPRODUCT(('Cost baseline'!$C$4:$AB$4&gt;=$K35)*('Cost baseline'!$C$4:$AB$4&lt;=$L35)*('Cost baseline'!$C$5:$AB$5=P$4))/($L35-$K35+1))</f>
        <v>0</v>
      </c>
      <c r="Q35" s="44">
        <f>IF($J35=0,0,$J35*SUMPRODUCT(('Cost baseline'!$C$4:$AB$4&gt;=$K35)*('Cost baseline'!$C$4:$AB$4&lt;=$L35)*('Cost baseline'!$C$5:$AB$5=Q$4))/($L35-$K35+1))</f>
        <v>0</v>
      </c>
      <c r="R35" s="44">
        <f>IF($J35=0,0,$J35*SUMPRODUCT(('Cost baseline'!$C$4:$AB$4&gt;=$K35)*('Cost baseline'!$C$4:$AB$4&lt;=$L35)*('Cost baseline'!$C$5:$AB$5=R$4))/($L35-$K35+1))</f>
        <v>0</v>
      </c>
    </row>
    <row r="36" spans="2:18" ht="18" customHeight="1" x14ac:dyDescent="0.3">
      <c r="B36" s="13" t="s">
        <v>92</v>
      </c>
      <c r="C36" s="13" t="str">
        <f>IFERROR(INDEX(WBS!$F$5:$F$44,MATCH($B36,WBS!$B$5:$B$44,0)),"")</f>
        <v>I</v>
      </c>
      <c r="D36" s="40" t="s">
        <v>307</v>
      </c>
      <c r="E36" s="40" t="s">
        <v>269</v>
      </c>
      <c r="F36" s="13" t="s">
        <v>242</v>
      </c>
      <c r="G36" s="51">
        <v>12</v>
      </c>
      <c r="H36" s="40" t="s">
        <v>270</v>
      </c>
      <c r="I36" s="53">
        <f>INDEX('Nguồn lực'!$D$5:$D$8,MATCH($F36,'Nguồn lực'!$B$5:$B$8,0))</f>
        <v>1</v>
      </c>
      <c r="J36" s="44">
        <f t="shared" si="0"/>
        <v>12</v>
      </c>
      <c r="K36" s="55">
        <f>INDEX('Hoạt động, lịch'!$L$5:$L$26,MATCH($C36,'Hoạt động, lịch'!$B$5:$B$26,0))+1</f>
        <v>13</v>
      </c>
      <c r="L36" s="55">
        <f>INDEX('Hoạt động, lịch'!$M$5:$M$26,MATCH($C36,'Hoạt động, lịch'!$B$5:$B$26,0))</f>
        <v>17</v>
      </c>
      <c r="M36" s="44">
        <f>IF($J36=0,0,$J36*SUMPRODUCT(('Cost baseline'!$C$4:$AB$4&gt;=$K36)*('Cost baseline'!$C$4:$AB$4&lt;=$L36)*('Cost baseline'!$C$5:$AB$5=M$4))/($L36-$K36+1))</f>
        <v>0</v>
      </c>
      <c r="N36" s="44">
        <f>IF($J36=0,0,$J36*SUMPRODUCT(('Cost baseline'!$C$4:$AB$4&gt;=$K36)*('Cost baseline'!$C$4:$AB$4&lt;=$L36)*('Cost baseline'!$C$5:$AB$5=N$4))/($L36-$K36+1))</f>
        <v>0</v>
      </c>
      <c r="O36" s="44">
        <f>IF($J36=0,0,$J36*SUMPRODUCT(('Cost baseline'!$C$4:$AB$4&gt;=$K36)*('Cost baseline'!$C$4:$AB$4&lt;=$L36)*('Cost baseline'!$C$5:$AB$5=O$4))/($L36-$K36+1))</f>
        <v>2.4</v>
      </c>
      <c r="P36" s="44">
        <f>IF($J36=0,0,$J36*SUMPRODUCT(('Cost baseline'!$C$4:$AB$4&gt;=$K36)*('Cost baseline'!$C$4:$AB$4&lt;=$L36)*('Cost baseline'!$C$5:$AB$5=P$4))/($L36-$K36+1))</f>
        <v>9.6</v>
      </c>
      <c r="Q36" s="44">
        <f>IF($J36=0,0,$J36*SUMPRODUCT(('Cost baseline'!$C$4:$AB$4&gt;=$K36)*('Cost baseline'!$C$4:$AB$4&lt;=$L36)*('Cost baseline'!$C$5:$AB$5=Q$4))/($L36-$K36+1))</f>
        <v>0</v>
      </c>
      <c r="R36" s="44">
        <f>IF($J36=0,0,$J36*SUMPRODUCT(('Cost baseline'!$C$4:$AB$4&gt;=$K36)*('Cost baseline'!$C$4:$AB$4&lt;=$L36)*('Cost baseline'!$C$5:$AB$5=R$4))/($L36-$K36+1))</f>
        <v>0</v>
      </c>
    </row>
    <row r="37" spans="2:18" ht="18" customHeight="1" x14ac:dyDescent="0.3">
      <c r="B37" s="13" t="s">
        <v>92</v>
      </c>
      <c r="C37" s="13" t="str">
        <f>IFERROR(INDEX(WBS!$F$5:$F$44,MATCH($B37,WBS!$B$5:$B$44,0)),"")</f>
        <v>I</v>
      </c>
      <c r="D37" s="40" t="s">
        <v>308</v>
      </c>
      <c r="E37" s="40" t="s">
        <v>304</v>
      </c>
      <c r="F37" s="13"/>
      <c r="G37" s="51">
        <v>4</v>
      </c>
      <c r="H37" s="40" t="s">
        <v>295</v>
      </c>
      <c r="I37" s="53">
        <f>'Nguồn lực'!$F$22</f>
        <v>92</v>
      </c>
      <c r="J37" s="44">
        <f t="shared" ref="J37:J68" si="1">G37*I37</f>
        <v>368</v>
      </c>
      <c r="K37" s="55">
        <f>INDEX('Hoạt động, lịch'!$L$5:$L$26,MATCH($C37,'Hoạt động, lịch'!$B$5:$B$26,0))+1</f>
        <v>13</v>
      </c>
      <c r="L37" s="55">
        <f>INDEX('Hoạt động, lịch'!$M$5:$M$26,MATCH($C37,'Hoạt động, lịch'!$B$5:$B$26,0))</f>
        <v>17</v>
      </c>
      <c r="M37" s="44">
        <f>IF($J37=0,0,$J37*SUMPRODUCT(('Cost baseline'!$C$4:$AB$4&gt;=$K37)*('Cost baseline'!$C$4:$AB$4&lt;=$L37)*('Cost baseline'!$C$5:$AB$5=M$4))/($L37-$K37+1))</f>
        <v>0</v>
      </c>
      <c r="N37" s="44">
        <f>IF($J37=0,0,$J37*SUMPRODUCT(('Cost baseline'!$C$4:$AB$4&gt;=$K37)*('Cost baseline'!$C$4:$AB$4&lt;=$L37)*('Cost baseline'!$C$5:$AB$5=N$4))/($L37-$K37+1))</f>
        <v>0</v>
      </c>
      <c r="O37" s="44">
        <f>IF($J37=0,0,$J37*SUMPRODUCT(('Cost baseline'!$C$4:$AB$4&gt;=$K37)*('Cost baseline'!$C$4:$AB$4&lt;=$L37)*('Cost baseline'!$C$5:$AB$5=O$4))/($L37-$K37+1))</f>
        <v>73.599999999999994</v>
      </c>
      <c r="P37" s="44">
        <f>IF($J37=0,0,$J37*SUMPRODUCT(('Cost baseline'!$C$4:$AB$4&gt;=$K37)*('Cost baseline'!$C$4:$AB$4&lt;=$L37)*('Cost baseline'!$C$5:$AB$5=P$4))/($L37-$K37+1))</f>
        <v>294.39999999999998</v>
      </c>
      <c r="Q37" s="44">
        <f>IF($J37=0,0,$J37*SUMPRODUCT(('Cost baseline'!$C$4:$AB$4&gt;=$K37)*('Cost baseline'!$C$4:$AB$4&lt;=$L37)*('Cost baseline'!$C$5:$AB$5=Q$4))/($L37-$K37+1))</f>
        <v>0</v>
      </c>
      <c r="R37" s="44">
        <f>IF($J37=0,0,$J37*SUMPRODUCT(('Cost baseline'!$C$4:$AB$4&gt;=$K37)*('Cost baseline'!$C$4:$AB$4&lt;=$L37)*('Cost baseline'!$C$5:$AB$5=R$4))/($L37-$K37+1))</f>
        <v>0</v>
      </c>
    </row>
    <row r="38" spans="2:18" ht="18" customHeight="1" x14ac:dyDescent="0.3">
      <c r="B38" s="13" t="s">
        <v>99</v>
      </c>
      <c r="C38" s="13" t="str">
        <f>IFERROR(INDEX(WBS!$F$5:$F$44,MATCH($B38,WBS!$B$5:$B$44,0)),"")</f>
        <v>J</v>
      </c>
      <c r="D38" s="40" t="s">
        <v>309</v>
      </c>
      <c r="E38" s="40" t="s">
        <v>269</v>
      </c>
      <c r="F38" s="13" t="s">
        <v>242</v>
      </c>
      <c r="G38" s="51">
        <v>12</v>
      </c>
      <c r="H38" s="40" t="s">
        <v>270</v>
      </c>
      <c r="I38" s="53">
        <f>INDEX('Nguồn lực'!$D$5:$D$8,MATCH($F38,'Nguồn lực'!$B$5:$B$8,0))</f>
        <v>1</v>
      </c>
      <c r="J38" s="44">
        <f t="shared" si="1"/>
        <v>12</v>
      </c>
      <c r="K38" s="55">
        <f>INDEX('Hoạt động, lịch'!$L$5:$L$26,MATCH($C38,'Hoạt động, lịch'!$B$5:$B$26,0))+1</f>
        <v>9</v>
      </c>
      <c r="L38" s="55">
        <f>INDEX('Hoạt động, lịch'!$M$5:$M$26,MATCH($C38,'Hoạt động, lịch'!$B$5:$B$26,0))</f>
        <v>12</v>
      </c>
      <c r="M38" s="44">
        <f>IF($J38=0,0,$J38*SUMPRODUCT(('Cost baseline'!$C$4:$AB$4&gt;=$K38)*('Cost baseline'!$C$4:$AB$4&lt;=$L38)*('Cost baseline'!$C$5:$AB$5=M$4))/($L38-$K38+1))</f>
        <v>0</v>
      </c>
      <c r="N38" s="44">
        <f>IF($J38=0,0,$J38*SUMPRODUCT(('Cost baseline'!$C$4:$AB$4&gt;=$K38)*('Cost baseline'!$C$4:$AB$4&lt;=$L38)*('Cost baseline'!$C$5:$AB$5=N$4))/($L38-$K38+1))</f>
        <v>3</v>
      </c>
      <c r="O38" s="44">
        <f>IF($J38=0,0,$J38*SUMPRODUCT(('Cost baseline'!$C$4:$AB$4&gt;=$K38)*('Cost baseline'!$C$4:$AB$4&lt;=$L38)*('Cost baseline'!$C$5:$AB$5=O$4))/($L38-$K38+1))</f>
        <v>9</v>
      </c>
      <c r="P38" s="44">
        <f>IF($J38=0,0,$J38*SUMPRODUCT(('Cost baseline'!$C$4:$AB$4&gt;=$K38)*('Cost baseline'!$C$4:$AB$4&lt;=$L38)*('Cost baseline'!$C$5:$AB$5=P$4))/($L38-$K38+1))</f>
        <v>0</v>
      </c>
      <c r="Q38" s="44">
        <f>IF($J38=0,0,$J38*SUMPRODUCT(('Cost baseline'!$C$4:$AB$4&gt;=$K38)*('Cost baseline'!$C$4:$AB$4&lt;=$L38)*('Cost baseline'!$C$5:$AB$5=Q$4))/($L38-$K38+1))</f>
        <v>0</v>
      </c>
      <c r="R38" s="44">
        <f>IF($J38=0,0,$J38*SUMPRODUCT(('Cost baseline'!$C$4:$AB$4&gt;=$K38)*('Cost baseline'!$C$4:$AB$4&lt;=$L38)*('Cost baseline'!$C$5:$AB$5=R$4))/($L38-$K38+1))</f>
        <v>0</v>
      </c>
    </row>
    <row r="39" spans="2:18" ht="18" customHeight="1" x14ac:dyDescent="0.3">
      <c r="B39" s="13" t="s">
        <v>103</v>
      </c>
      <c r="C39" s="13" t="str">
        <f>IFERROR(INDEX(WBS!$F$5:$F$44,MATCH($B39,WBS!$B$5:$B$44,0)),"")</f>
        <v>K</v>
      </c>
      <c r="D39" s="40" t="s">
        <v>310</v>
      </c>
      <c r="E39" s="40" t="s">
        <v>269</v>
      </c>
      <c r="F39" s="13" t="s">
        <v>242</v>
      </c>
      <c r="G39" s="51">
        <v>8</v>
      </c>
      <c r="H39" s="40" t="s">
        <v>270</v>
      </c>
      <c r="I39" s="53">
        <f>INDEX('Nguồn lực'!$D$5:$D$8,MATCH($F39,'Nguồn lực'!$B$5:$B$8,0))</f>
        <v>1</v>
      </c>
      <c r="J39" s="44">
        <f t="shared" si="1"/>
        <v>8</v>
      </c>
      <c r="K39" s="55">
        <f>INDEX('Hoạt động, lịch'!$L$5:$L$26,MATCH($C39,'Hoạt động, lịch'!$B$5:$B$26,0))+1</f>
        <v>13</v>
      </c>
      <c r="L39" s="55">
        <f>INDEX('Hoạt động, lịch'!$M$5:$M$26,MATCH($C39,'Hoạt động, lịch'!$B$5:$B$26,0))</f>
        <v>15</v>
      </c>
      <c r="M39" s="44">
        <f>IF($J39=0,0,$J39*SUMPRODUCT(('Cost baseline'!$C$4:$AB$4&gt;=$K39)*('Cost baseline'!$C$4:$AB$4&lt;=$L39)*('Cost baseline'!$C$5:$AB$5=M$4))/($L39-$K39+1))</f>
        <v>0</v>
      </c>
      <c r="N39" s="44">
        <f>IF($J39=0,0,$J39*SUMPRODUCT(('Cost baseline'!$C$4:$AB$4&gt;=$K39)*('Cost baseline'!$C$4:$AB$4&lt;=$L39)*('Cost baseline'!$C$5:$AB$5=N$4))/($L39-$K39+1))</f>
        <v>0</v>
      </c>
      <c r="O39" s="44">
        <f>IF($J39=0,0,$J39*SUMPRODUCT(('Cost baseline'!$C$4:$AB$4&gt;=$K39)*('Cost baseline'!$C$4:$AB$4&lt;=$L39)*('Cost baseline'!$C$5:$AB$5=O$4))/($L39-$K39+1))</f>
        <v>2.6666666666666665</v>
      </c>
      <c r="P39" s="44">
        <f>IF($J39=0,0,$J39*SUMPRODUCT(('Cost baseline'!$C$4:$AB$4&gt;=$K39)*('Cost baseline'!$C$4:$AB$4&lt;=$L39)*('Cost baseline'!$C$5:$AB$5=P$4))/($L39-$K39+1))</f>
        <v>5.333333333333333</v>
      </c>
      <c r="Q39" s="44">
        <f>IF($J39=0,0,$J39*SUMPRODUCT(('Cost baseline'!$C$4:$AB$4&gt;=$K39)*('Cost baseline'!$C$4:$AB$4&lt;=$L39)*('Cost baseline'!$C$5:$AB$5=Q$4))/($L39-$K39+1))</f>
        <v>0</v>
      </c>
      <c r="R39" s="44">
        <f>IF($J39=0,0,$J39*SUMPRODUCT(('Cost baseline'!$C$4:$AB$4&gt;=$K39)*('Cost baseline'!$C$4:$AB$4&lt;=$L39)*('Cost baseline'!$C$5:$AB$5=R$4))/($L39-$K39+1))</f>
        <v>0</v>
      </c>
    </row>
    <row r="40" spans="2:18" ht="18" customHeight="1" x14ac:dyDescent="0.3">
      <c r="B40" s="13" t="s">
        <v>110</v>
      </c>
      <c r="C40" s="13" t="str">
        <f>IFERROR(INDEX(WBS!$F$5:$F$44,MATCH($B40,WBS!$B$5:$B$44,0)),"")</f>
        <v>L</v>
      </c>
      <c r="D40" s="40" t="s">
        <v>311</v>
      </c>
      <c r="E40" s="40" t="s">
        <v>269</v>
      </c>
      <c r="F40" s="13" t="s">
        <v>230</v>
      </c>
      <c r="G40" s="51">
        <v>10</v>
      </c>
      <c r="H40" s="40" t="s">
        <v>270</v>
      </c>
      <c r="I40" s="53">
        <f>INDEX('Nguồn lực'!$D$5:$D$8,MATCH($F40,'Nguồn lực'!$B$5:$B$8,0))</f>
        <v>2</v>
      </c>
      <c r="J40" s="44">
        <f t="shared" si="1"/>
        <v>20</v>
      </c>
      <c r="K40" s="55">
        <f>INDEX('Hoạt động, lịch'!$L$5:$L$26,MATCH($C40,'Hoạt động, lịch'!$B$5:$B$26,0))+1</f>
        <v>15</v>
      </c>
      <c r="L40" s="55">
        <f>INDEX('Hoạt động, lịch'!$M$5:$M$26,MATCH($C40,'Hoạt động, lịch'!$B$5:$B$26,0))</f>
        <v>15</v>
      </c>
      <c r="M40" s="44">
        <f>IF($J40=0,0,$J40*SUMPRODUCT(('Cost baseline'!$C$4:$AB$4&gt;=$K40)*('Cost baseline'!$C$4:$AB$4&lt;=$L40)*('Cost baseline'!$C$5:$AB$5=M$4))/($L40-$K40+1))</f>
        <v>0</v>
      </c>
      <c r="N40" s="44">
        <f>IF($J40=0,0,$J40*SUMPRODUCT(('Cost baseline'!$C$4:$AB$4&gt;=$K40)*('Cost baseline'!$C$4:$AB$4&lt;=$L40)*('Cost baseline'!$C$5:$AB$5=N$4))/($L40-$K40+1))</f>
        <v>0</v>
      </c>
      <c r="O40" s="44">
        <f>IF($J40=0,0,$J40*SUMPRODUCT(('Cost baseline'!$C$4:$AB$4&gt;=$K40)*('Cost baseline'!$C$4:$AB$4&lt;=$L40)*('Cost baseline'!$C$5:$AB$5=O$4))/($L40-$K40+1))</f>
        <v>0</v>
      </c>
      <c r="P40" s="44">
        <f>IF($J40=0,0,$J40*SUMPRODUCT(('Cost baseline'!$C$4:$AB$4&gt;=$K40)*('Cost baseline'!$C$4:$AB$4&lt;=$L40)*('Cost baseline'!$C$5:$AB$5=P$4))/($L40-$K40+1))</f>
        <v>20</v>
      </c>
      <c r="Q40" s="44">
        <f>IF($J40=0,0,$J40*SUMPRODUCT(('Cost baseline'!$C$4:$AB$4&gt;=$K40)*('Cost baseline'!$C$4:$AB$4&lt;=$L40)*('Cost baseline'!$C$5:$AB$5=Q$4))/($L40-$K40+1))</f>
        <v>0</v>
      </c>
      <c r="R40" s="44">
        <f>IF($J40=0,0,$J40*SUMPRODUCT(('Cost baseline'!$C$4:$AB$4&gt;=$K40)*('Cost baseline'!$C$4:$AB$4&lt;=$L40)*('Cost baseline'!$C$5:$AB$5=R$4))/($L40-$K40+1))</f>
        <v>0</v>
      </c>
    </row>
    <row r="41" spans="2:18" ht="18" customHeight="1" x14ac:dyDescent="0.3">
      <c r="B41" s="13" t="s">
        <v>110</v>
      </c>
      <c r="C41" s="13" t="str">
        <f>IFERROR(INDEX(WBS!$F$5:$F$44,MATCH($B41,WBS!$B$5:$B$44,0)),"")</f>
        <v>L</v>
      </c>
      <c r="D41" s="40" t="s">
        <v>42</v>
      </c>
      <c r="E41" s="40" t="s">
        <v>269</v>
      </c>
      <c r="F41" s="13" t="s">
        <v>242</v>
      </c>
      <c r="G41" s="51">
        <v>3</v>
      </c>
      <c r="H41" s="40" t="s">
        <v>270</v>
      </c>
      <c r="I41" s="53">
        <f>INDEX('Nguồn lực'!$D$5:$D$8,MATCH($F41,'Nguồn lực'!$B$5:$B$8,0))</f>
        <v>1</v>
      </c>
      <c r="J41" s="44">
        <f t="shared" si="1"/>
        <v>3</v>
      </c>
      <c r="K41" s="55">
        <f>INDEX('Hoạt động, lịch'!$L$5:$L$26,MATCH($C41,'Hoạt động, lịch'!$B$5:$B$26,0))+1</f>
        <v>15</v>
      </c>
      <c r="L41" s="55">
        <f>INDEX('Hoạt động, lịch'!$M$5:$M$26,MATCH($C41,'Hoạt động, lịch'!$B$5:$B$26,0))</f>
        <v>15</v>
      </c>
      <c r="M41" s="44">
        <f>IF($J41=0,0,$J41*SUMPRODUCT(('Cost baseline'!$C$4:$AB$4&gt;=$K41)*('Cost baseline'!$C$4:$AB$4&lt;=$L41)*('Cost baseline'!$C$5:$AB$5=M$4))/($L41-$K41+1))</f>
        <v>0</v>
      </c>
      <c r="N41" s="44">
        <f>IF($J41=0,0,$J41*SUMPRODUCT(('Cost baseline'!$C$4:$AB$4&gt;=$K41)*('Cost baseline'!$C$4:$AB$4&lt;=$L41)*('Cost baseline'!$C$5:$AB$5=N$4))/($L41-$K41+1))</f>
        <v>0</v>
      </c>
      <c r="O41" s="44">
        <f>IF($J41=0,0,$J41*SUMPRODUCT(('Cost baseline'!$C$4:$AB$4&gt;=$K41)*('Cost baseline'!$C$4:$AB$4&lt;=$L41)*('Cost baseline'!$C$5:$AB$5=O$4))/($L41-$K41+1))</f>
        <v>0</v>
      </c>
      <c r="P41" s="44">
        <f>IF($J41=0,0,$J41*SUMPRODUCT(('Cost baseline'!$C$4:$AB$4&gt;=$K41)*('Cost baseline'!$C$4:$AB$4&lt;=$L41)*('Cost baseline'!$C$5:$AB$5=P$4))/($L41-$K41+1))</f>
        <v>3</v>
      </c>
      <c r="Q41" s="44">
        <f>IF($J41=0,0,$J41*SUMPRODUCT(('Cost baseline'!$C$4:$AB$4&gt;=$K41)*('Cost baseline'!$C$4:$AB$4&lt;=$L41)*('Cost baseline'!$C$5:$AB$5=Q$4))/($L41-$K41+1))</f>
        <v>0</v>
      </c>
      <c r="R41" s="44">
        <f>IF($J41=0,0,$J41*SUMPRODUCT(('Cost baseline'!$C$4:$AB$4&gt;=$K41)*('Cost baseline'!$C$4:$AB$4&lt;=$L41)*('Cost baseline'!$C$5:$AB$5=R$4))/($L41-$K41+1))</f>
        <v>0</v>
      </c>
    </row>
    <row r="42" spans="2:18" ht="18" customHeight="1" x14ac:dyDescent="0.3">
      <c r="B42" s="13" t="s">
        <v>110</v>
      </c>
      <c r="C42" s="13" t="str">
        <f>IFERROR(INDEX(WBS!$F$5:$F$44,MATCH($B42,WBS!$B$5:$B$44,0)),"")</f>
        <v>L</v>
      </c>
      <c r="D42" s="40" t="s">
        <v>312</v>
      </c>
      <c r="E42" s="40" t="s">
        <v>289</v>
      </c>
      <c r="F42" s="13"/>
      <c r="G42" s="51">
        <v>1</v>
      </c>
      <c r="H42" s="40" t="s">
        <v>292</v>
      </c>
      <c r="I42" s="41">
        <v>5</v>
      </c>
      <c r="J42" s="44">
        <f t="shared" si="1"/>
        <v>5</v>
      </c>
      <c r="K42" s="55">
        <f>INDEX('Hoạt động, lịch'!$L$5:$L$26,MATCH($C42,'Hoạt động, lịch'!$B$5:$B$26,0))+1</f>
        <v>15</v>
      </c>
      <c r="L42" s="55">
        <f>INDEX('Hoạt động, lịch'!$M$5:$M$26,MATCH($C42,'Hoạt động, lịch'!$B$5:$B$26,0))</f>
        <v>15</v>
      </c>
      <c r="M42" s="44">
        <f>IF($J42=0,0,$J42*SUMPRODUCT(('Cost baseline'!$C$4:$AB$4&gt;=$K42)*('Cost baseline'!$C$4:$AB$4&lt;=$L42)*('Cost baseline'!$C$5:$AB$5=M$4))/($L42-$K42+1))</f>
        <v>0</v>
      </c>
      <c r="N42" s="44">
        <f>IF($J42=0,0,$J42*SUMPRODUCT(('Cost baseline'!$C$4:$AB$4&gt;=$K42)*('Cost baseline'!$C$4:$AB$4&lt;=$L42)*('Cost baseline'!$C$5:$AB$5=N$4))/($L42-$K42+1))</f>
        <v>0</v>
      </c>
      <c r="O42" s="44">
        <f>IF($J42=0,0,$J42*SUMPRODUCT(('Cost baseline'!$C$4:$AB$4&gt;=$K42)*('Cost baseline'!$C$4:$AB$4&lt;=$L42)*('Cost baseline'!$C$5:$AB$5=O$4))/($L42-$K42+1))</f>
        <v>0</v>
      </c>
      <c r="P42" s="44">
        <f>IF($J42=0,0,$J42*SUMPRODUCT(('Cost baseline'!$C$4:$AB$4&gt;=$K42)*('Cost baseline'!$C$4:$AB$4&lt;=$L42)*('Cost baseline'!$C$5:$AB$5=P$4))/($L42-$K42+1))</f>
        <v>5</v>
      </c>
      <c r="Q42" s="44">
        <f>IF($J42=0,0,$J42*SUMPRODUCT(('Cost baseline'!$C$4:$AB$4&gt;=$K42)*('Cost baseline'!$C$4:$AB$4&lt;=$L42)*('Cost baseline'!$C$5:$AB$5=Q$4))/($L42-$K42+1))</f>
        <v>0</v>
      </c>
      <c r="R42" s="44">
        <f>IF($J42=0,0,$J42*SUMPRODUCT(('Cost baseline'!$C$4:$AB$4&gt;=$K42)*('Cost baseline'!$C$4:$AB$4&lt;=$L42)*('Cost baseline'!$C$5:$AB$5=R$4))/($L42-$K42+1))</f>
        <v>0</v>
      </c>
    </row>
    <row r="43" spans="2:18" ht="18" customHeight="1" x14ac:dyDescent="0.3">
      <c r="B43" s="13" t="s">
        <v>114</v>
      </c>
      <c r="C43" s="13" t="str">
        <f>IFERROR(INDEX(WBS!$F$5:$F$44,MATCH($B43,WBS!$B$5:$B$44,0)),"")</f>
        <v>M</v>
      </c>
      <c r="D43" s="40" t="s">
        <v>313</v>
      </c>
      <c r="E43" s="40" t="s">
        <v>269</v>
      </c>
      <c r="F43" s="13" t="s">
        <v>230</v>
      </c>
      <c r="G43" s="51">
        <v>5</v>
      </c>
      <c r="H43" s="40" t="s">
        <v>270</v>
      </c>
      <c r="I43" s="53">
        <f>INDEX('Nguồn lực'!$D$5:$D$8,MATCH($F43,'Nguồn lực'!$B$5:$B$8,0))</f>
        <v>2</v>
      </c>
      <c r="J43" s="44">
        <f t="shared" si="1"/>
        <v>10</v>
      </c>
      <c r="K43" s="55">
        <f>INDEX('Hoạt động, lịch'!$L$5:$L$26,MATCH($C43,'Hoạt động, lịch'!$B$5:$B$26,0))+1</f>
        <v>16</v>
      </c>
      <c r="L43" s="55">
        <f>INDEX('Hoạt động, lịch'!$M$5:$M$26,MATCH($C43,'Hoạt động, lịch'!$B$5:$B$26,0))</f>
        <v>16</v>
      </c>
      <c r="M43" s="44">
        <f>IF($J43=0,0,$J43*SUMPRODUCT(('Cost baseline'!$C$4:$AB$4&gt;=$K43)*('Cost baseline'!$C$4:$AB$4&lt;=$L43)*('Cost baseline'!$C$5:$AB$5=M$4))/($L43-$K43+1))</f>
        <v>0</v>
      </c>
      <c r="N43" s="44">
        <f>IF($J43=0,0,$J43*SUMPRODUCT(('Cost baseline'!$C$4:$AB$4&gt;=$K43)*('Cost baseline'!$C$4:$AB$4&lt;=$L43)*('Cost baseline'!$C$5:$AB$5=N$4))/($L43-$K43+1))</f>
        <v>0</v>
      </c>
      <c r="O43" s="44">
        <f>IF($J43=0,0,$J43*SUMPRODUCT(('Cost baseline'!$C$4:$AB$4&gt;=$K43)*('Cost baseline'!$C$4:$AB$4&lt;=$L43)*('Cost baseline'!$C$5:$AB$5=O$4))/($L43-$K43+1))</f>
        <v>0</v>
      </c>
      <c r="P43" s="44">
        <f>IF($J43=0,0,$J43*SUMPRODUCT(('Cost baseline'!$C$4:$AB$4&gt;=$K43)*('Cost baseline'!$C$4:$AB$4&lt;=$L43)*('Cost baseline'!$C$5:$AB$5=P$4))/($L43-$K43+1))</f>
        <v>10</v>
      </c>
      <c r="Q43" s="44">
        <f>IF($J43=0,0,$J43*SUMPRODUCT(('Cost baseline'!$C$4:$AB$4&gt;=$K43)*('Cost baseline'!$C$4:$AB$4&lt;=$L43)*('Cost baseline'!$C$5:$AB$5=Q$4))/($L43-$K43+1))</f>
        <v>0</v>
      </c>
      <c r="R43" s="44">
        <f>IF($J43=0,0,$J43*SUMPRODUCT(('Cost baseline'!$C$4:$AB$4&gt;=$K43)*('Cost baseline'!$C$4:$AB$4&lt;=$L43)*('Cost baseline'!$C$5:$AB$5=R$4))/($L43-$K43+1))</f>
        <v>0</v>
      </c>
    </row>
    <row r="44" spans="2:18" ht="18" customHeight="1" x14ac:dyDescent="0.3">
      <c r="B44" s="13" t="s">
        <v>114</v>
      </c>
      <c r="C44" s="13" t="str">
        <f>IFERROR(INDEX(WBS!$F$5:$F$44,MATCH($B44,WBS!$B$5:$B$44,0)),"")</f>
        <v>M</v>
      </c>
      <c r="D44" s="40" t="s">
        <v>314</v>
      </c>
      <c r="E44" s="40" t="s">
        <v>269</v>
      </c>
      <c r="F44" s="13" t="s">
        <v>234</v>
      </c>
      <c r="G44" s="51">
        <v>5</v>
      </c>
      <c r="H44" s="40" t="s">
        <v>270</v>
      </c>
      <c r="I44" s="53">
        <f>INDEX('Nguồn lực'!$D$5:$D$8,MATCH($F44,'Nguồn lực'!$B$5:$B$8,0))</f>
        <v>1.5</v>
      </c>
      <c r="J44" s="44">
        <f t="shared" si="1"/>
        <v>7.5</v>
      </c>
      <c r="K44" s="55">
        <f>INDEX('Hoạt động, lịch'!$L$5:$L$26,MATCH($C44,'Hoạt động, lịch'!$B$5:$B$26,0))+1</f>
        <v>16</v>
      </c>
      <c r="L44" s="55">
        <f>INDEX('Hoạt động, lịch'!$M$5:$M$26,MATCH($C44,'Hoạt động, lịch'!$B$5:$B$26,0))</f>
        <v>16</v>
      </c>
      <c r="M44" s="44">
        <f>IF($J44=0,0,$J44*SUMPRODUCT(('Cost baseline'!$C$4:$AB$4&gt;=$K44)*('Cost baseline'!$C$4:$AB$4&lt;=$L44)*('Cost baseline'!$C$5:$AB$5=M$4))/($L44-$K44+1))</f>
        <v>0</v>
      </c>
      <c r="N44" s="44">
        <f>IF($J44=0,0,$J44*SUMPRODUCT(('Cost baseline'!$C$4:$AB$4&gt;=$K44)*('Cost baseline'!$C$4:$AB$4&lt;=$L44)*('Cost baseline'!$C$5:$AB$5=N$4))/($L44-$K44+1))</f>
        <v>0</v>
      </c>
      <c r="O44" s="44">
        <f>IF($J44=0,0,$J44*SUMPRODUCT(('Cost baseline'!$C$4:$AB$4&gt;=$K44)*('Cost baseline'!$C$4:$AB$4&lt;=$L44)*('Cost baseline'!$C$5:$AB$5=O$4))/($L44-$K44+1))</f>
        <v>0</v>
      </c>
      <c r="P44" s="44">
        <f>IF($J44=0,0,$J44*SUMPRODUCT(('Cost baseline'!$C$4:$AB$4&gt;=$K44)*('Cost baseline'!$C$4:$AB$4&lt;=$L44)*('Cost baseline'!$C$5:$AB$5=P$4))/($L44-$K44+1))</f>
        <v>7.5</v>
      </c>
      <c r="Q44" s="44">
        <f>IF($J44=0,0,$J44*SUMPRODUCT(('Cost baseline'!$C$4:$AB$4&gt;=$K44)*('Cost baseline'!$C$4:$AB$4&lt;=$L44)*('Cost baseline'!$C$5:$AB$5=Q$4))/($L44-$K44+1))</f>
        <v>0</v>
      </c>
      <c r="R44" s="44">
        <f>IF($J44=0,0,$J44*SUMPRODUCT(('Cost baseline'!$C$4:$AB$4&gt;=$K44)*('Cost baseline'!$C$4:$AB$4&lt;=$L44)*('Cost baseline'!$C$5:$AB$5=R$4))/($L44-$K44+1))</f>
        <v>0</v>
      </c>
    </row>
    <row r="45" spans="2:18" ht="18" customHeight="1" x14ac:dyDescent="0.3">
      <c r="B45" s="13" t="s">
        <v>114</v>
      </c>
      <c r="C45" s="13" t="str">
        <f>IFERROR(INDEX(WBS!$F$5:$F$44,MATCH($B45,WBS!$B$5:$B$44,0)),"")</f>
        <v>M</v>
      </c>
      <c r="D45" s="40" t="s">
        <v>315</v>
      </c>
      <c r="E45" s="40" t="s">
        <v>269</v>
      </c>
      <c r="F45" s="13" t="s">
        <v>242</v>
      </c>
      <c r="G45" s="51">
        <v>5</v>
      </c>
      <c r="H45" s="40" t="s">
        <v>270</v>
      </c>
      <c r="I45" s="53">
        <f>INDEX('Nguồn lực'!$D$5:$D$8,MATCH($F45,'Nguồn lực'!$B$5:$B$8,0))</f>
        <v>1</v>
      </c>
      <c r="J45" s="44">
        <f t="shared" si="1"/>
        <v>5</v>
      </c>
      <c r="K45" s="55">
        <f>INDEX('Hoạt động, lịch'!$L$5:$L$26,MATCH($C45,'Hoạt động, lịch'!$B$5:$B$26,0))+1</f>
        <v>16</v>
      </c>
      <c r="L45" s="55">
        <f>INDEX('Hoạt động, lịch'!$M$5:$M$26,MATCH($C45,'Hoạt động, lịch'!$B$5:$B$26,0))</f>
        <v>16</v>
      </c>
      <c r="M45" s="44">
        <f>IF($J45=0,0,$J45*SUMPRODUCT(('Cost baseline'!$C$4:$AB$4&gt;=$K45)*('Cost baseline'!$C$4:$AB$4&lt;=$L45)*('Cost baseline'!$C$5:$AB$5=M$4))/($L45-$K45+1))</f>
        <v>0</v>
      </c>
      <c r="N45" s="44">
        <f>IF($J45=0,0,$J45*SUMPRODUCT(('Cost baseline'!$C$4:$AB$4&gt;=$K45)*('Cost baseline'!$C$4:$AB$4&lt;=$L45)*('Cost baseline'!$C$5:$AB$5=N$4))/($L45-$K45+1))</f>
        <v>0</v>
      </c>
      <c r="O45" s="44">
        <f>IF($J45=0,0,$J45*SUMPRODUCT(('Cost baseline'!$C$4:$AB$4&gt;=$K45)*('Cost baseline'!$C$4:$AB$4&lt;=$L45)*('Cost baseline'!$C$5:$AB$5=O$4))/($L45-$K45+1))</f>
        <v>0</v>
      </c>
      <c r="P45" s="44">
        <f>IF($J45=0,0,$J45*SUMPRODUCT(('Cost baseline'!$C$4:$AB$4&gt;=$K45)*('Cost baseline'!$C$4:$AB$4&lt;=$L45)*('Cost baseline'!$C$5:$AB$5=P$4))/($L45-$K45+1))</f>
        <v>5</v>
      </c>
      <c r="Q45" s="44">
        <f>IF($J45=0,0,$J45*SUMPRODUCT(('Cost baseline'!$C$4:$AB$4&gt;=$K45)*('Cost baseline'!$C$4:$AB$4&lt;=$L45)*('Cost baseline'!$C$5:$AB$5=Q$4))/($L45-$K45+1))</f>
        <v>0</v>
      </c>
      <c r="R45" s="44">
        <f>IF($J45=0,0,$J45*SUMPRODUCT(('Cost baseline'!$C$4:$AB$4&gt;=$K45)*('Cost baseline'!$C$4:$AB$4&lt;=$L45)*('Cost baseline'!$C$5:$AB$5=R$4))/($L45-$K45+1))</f>
        <v>0</v>
      </c>
    </row>
    <row r="46" spans="2:18" ht="18" customHeight="1" x14ac:dyDescent="0.3">
      <c r="B46" s="13" t="s">
        <v>121</v>
      </c>
      <c r="C46" s="13" t="str">
        <f>IFERROR(INDEX(WBS!$F$5:$F$44,MATCH($B46,WBS!$B$5:$B$44,0)),"")</f>
        <v>N</v>
      </c>
      <c r="D46" s="40" t="s">
        <v>316</v>
      </c>
      <c r="E46" s="40" t="s">
        <v>269</v>
      </c>
      <c r="F46" s="13" t="s">
        <v>230</v>
      </c>
      <c r="G46" s="51">
        <v>10</v>
      </c>
      <c r="H46" s="40" t="s">
        <v>270</v>
      </c>
      <c r="I46" s="53">
        <f>INDEX('Nguồn lực'!$D$5:$D$8,MATCH($F46,'Nguồn lực'!$B$5:$B$8,0))</f>
        <v>2</v>
      </c>
      <c r="J46" s="44">
        <f t="shared" si="1"/>
        <v>20</v>
      </c>
      <c r="K46" s="55">
        <f>INDEX('Hoạt động, lịch'!$L$5:$L$26,MATCH($C46,'Hoạt động, lịch'!$B$5:$B$26,0))+1</f>
        <v>12</v>
      </c>
      <c r="L46" s="55">
        <f>INDEX('Hoạt động, lịch'!$M$5:$M$26,MATCH($C46,'Hoạt động, lịch'!$B$5:$B$26,0))</f>
        <v>14</v>
      </c>
      <c r="M46" s="44">
        <f>IF($J46=0,0,$J46*SUMPRODUCT(('Cost baseline'!$C$4:$AB$4&gt;=$K46)*('Cost baseline'!$C$4:$AB$4&lt;=$L46)*('Cost baseline'!$C$5:$AB$5=M$4))/($L46-$K46+1))</f>
        <v>0</v>
      </c>
      <c r="N46" s="44">
        <f>IF($J46=0,0,$J46*SUMPRODUCT(('Cost baseline'!$C$4:$AB$4&gt;=$K46)*('Cost baseline'!$C$4:$AB$4&lt;=$L46)*('Cost baseline'!$C$5:$AB$5=N$4))/($L46-$K46+1))</f>
        <v>0</v>
      </c>
      <c r="O46" s="44">
        <f>IF($J46=0,0,$J46*SUMPRODUCT(('Cost baseline'!$C$4:$AB$4&gt;=$K46)*('Cost baseline'!$C$4:$AB$4&lt;=$L46)*('Cost baseline'!$C$5:$AB$5=O$4))/($L46-$K46+1))</f>
        <v>13.333333333333334</v>
      </c>
      <c r="P46" s="44">
        <f>IF($J46=0,0,$J46*SUMPRODUCT(('Cost baseline'!$C$4:$AB$4&gt;=$K46)*('Cost baseline'!$C$4:$AB$4&lt;=$L46)*('Cost baseline'!$C$5:$AB$5=P$4))/($L46-$K46+1))</f>
        <v>6.666666666666667</v>
      </c>
      <c r="Q46" s="44">
        <f>IF($J46=0,0,$J46*SUMPRODUCT(('Cost baseline'!$C$4:$AB$4&gt;=$K46)*('Cost baseline'!$C$4:$AB$4&lt;=$L46)*('Cost baseline'!$C$5:$AB$5=Q$4))/($L46-$K46+1))</f>
        <v>0</v>
      </c>
      <c r="R46" s="44">
        <f>IF($J46=0,0,$J46*SUMPRODUCT(('Cost baseline'!$C$4:$AB$4&gt;=$K46)*('Cost baseline'!$C$4:$AB$4&lt;=$L46)*('Cost baseline'!$C$5:$AB$5=R$4))/($L46-$K46+1))</f>
        <v>0</v>
      </c>
    </row>
    <row r="47" spans="2:18" ht="18" customHeight="1" x14ac:dyDescent="0.3">
      <c r="B47" s="13" t="s">
        <v>121</v>
      </c>
      <c r="C47" s="13" t="str">
        <f>IFERROR(INDEX(WBS!$F$5:$F$44,MATCH($B47,WBS!$B$5:$B$44,0)),"")</f>
        <v>N</v>
      </c>
      <c r="D47" s="40" t="s">
        <v>317</v>
      </c>
      <c r="E47" s="40" t="s">
        <v>269</v>
      </c>
      <c r="F47" s="13" t="s">
        <v>242</v>
      </c>
      <c r="G47" s="51">
        <v>5</v>
      </c>
      <c r="H47" s="40" t="s">
        <v>270</v>
      </c>
      <c r="I47" s="53">
        <f>INDEX('Nguồn lực'!$D$5:$D$8,MATCH($F47,'Nguồn lực'!$B$5:$B$8,0))</f>
        <v>1</v>
      </c>
      <c r="J47" s="44">
        <f t="shared" si="1"/>
        <v>5</v>
      </c>
      <c r="K47" s="55">
        <f>INDEX('Hoạt động, lịch'!$L$5:$L$26,MATCH($C47,'Hoạt động, lịch'!$B$5:$B$26,0))+1</f>
        <v>12</v>
      </c>
      <c r="L47" s="55">
        <f>INDEX('Hoạt động, lịch'!$M$5:$M$26,MATCH($C47,'Hoạt động, lịch'!$B$5:$B$26,0))</f>
        <v>14</v>
      </c>
      <c r="M47" s="44">
        <f>IF($J47=0,0,$J47*SUMPRODUCT(('Cost baseline'!$C$4:$AB$4&gt;=$K47)*('Cost baseline'!$C$4:$AB$4&lt;=$L47)*('Cost baseline'!$C$5:$AB$5=M$4))/($L47-$K47+1))</f>
        <v>0</v>
      </c>
      <c r="N47" s="44">
        <f>IF($J47=0,0,$J47*SUMPRODUCT(('Cost baseline'!$C$4:$AB$4&gt;=$K47)*('Cost baseline'!$C$4:$AB$4&lt;=$L47)*('Cost baseline'!$C$5:$AB$5=N$4))/($L47-$K47+1))</f>
        <v>0</v>
      </c>
      <c r="O47" s="44">
        <f>IF($J47=0,0,$J47*SUMPRODUCT(('Cost baseline'!$C$4:$AB$4&gt;=$K47)*('Cost baseline'!$C$4:$AB$4&lt;=$L47)*('Cost baseline'!$C$5:$AB$5=O$4))/($L47-$K47+1))</f>
        <v>3.3333333333333335</v>
      </c>
      <c r="P47" s="44">
        <f>IF($J47=0,0,$J47*SUMPRODUCT(('Cost baseline'!$C$4:$AB$4&gt;=$K47)*('Cost baseline'!$C$4:$AB$4&lt;=$L47)*('Cost baseline'!$C$5:$AB$5=P$4))/($L47-$K47+1))</f>
        <v>1.6666666666666667</v>
      </c>
      <c r="Q47" s="44">
        <f>IF($J47=0,0,$J47*SUMPRODUCT(('Cost baseline'!$C$4:$AB$4&gt;=$K47)*('Cost baseline'!$C$4:$AB$4&lt;=$L47)*('Cost baseline'!$C$5:$AB$5=Q$4))/($L47-$K47+1))</f>
        <v>0</v>
      </c>
      <c r="R47" s="44">
        <f>IF($J47=0,0,$J47*SUMPRODUCT(('Cost baseline'!$C$4:$AB$4&gt;=$K47)*('Cost baseline'!$C$4:$AB$4&lt;=$L47)*('Cost baseline'!$C$5:$AB$5=R$4))/($L47-$K47+1))</f>
        <v>0</v>
      </c>
    </row>
    <row r="48" spans="2:18" ht="18" customHeight="1" x14ac:dyDescent="0.3">
      <c r="B48" s="13" t="s">
        <v>121</v>
      </c>
      <c r="C48" s="13" t="str">
        <f>IFERROR(INDEX(WBS!$F$5:$F$44,MATCH($B48,WBS!$B$5:$B$44,0)),"")</f>
        <v>N</v>
      </c>
      <c r="D48" s="40" t="s">
        <v>318</v>
      </c>
      <c r="E48" s="40" t="s">
        <v>319</v>
      </c>
      <c r="F48" s="13"/>
      <c r="G48" s="51">
        <v>1</v>
      </c>
      <c r="H48" s="40" t="s">
        <v>290</v>
      </c>
      <c r="I48" s="41">
        <v>12</v>
      </c>
      <c r="J48" s="44">
        <f t="shared" si="1"/>
        <v>12</v>
      </c>
      <c r="K48" s="55">
        <f>INDEX('Hoạt động, lịch'!$L$5:$L$26,MATCH($C48,'Hoạt động, lịch'!$B$5:$B$26,0))+1</f>
        <v>12</v>
      </c>
      <c r="L48" s="55">
        <f>INDEX('Hoạt động, lịch'!$M$5:$M$26,MATCH($C48,'Hoạt động, lịch'!$B$5:$B$26,0))</f>
        <v>14</v>
      </c>
      <c r="M48" s="44">
        <f>IF($J48=0,0,$J48*SUMPRODUCT(('Cost baseline'!$C$4:$AB$4&gt;=$K48)*('Cost baseline'!$C$4:$AB$4&lt;=$L48)*('Cost baseline'!$C$5:$AB$5=M$4))/($L48-$K48+1))</f>
        <v>0</v>
      </c>
      <c r="N48" s="44">
        <f>IF($J48=0,0,$J48*SUMPRODUCT(('Cost baseline'!$C$4:$AB$4&gt;=$K48)*('Cost baseline'!$C$4:$AB$4&lt;=$L48)*('Cost baseline'!$C$5:$AB$5=N$4))/($L48-$K48+1))</f>
        <v>0</v>
      </c>
      <c r="O48" s="44">
        <f>IF($J48=0,0,$J48*SUMPRODUCT(('Cost baseline'!$C$4:$AB$4&gt;=$K48)*('Cost baseline'!$C$4:$AB$4&lt;=$L48)*('Cost baseline'!$C$5:$AB$5=O$4))/($L48-$K48+1))</f>
        <v>8</v>
      </c>
      <c r="P48" s="44">
        <f>IF($J48=0,0,$J48*SUMPRODUCT(('Cost baseline'!$C$4:$AB$4&gt;=$K48)*('Cost baseline'!$C$4:$AB$4&lt;=$L48)*('Cost baseline'!$C$5:$AB$5=P$4))/($L48-$K48+1))</f>
        <v>4</v>
      </c>
      <c r="Q48" s="44">
        <f>IF($J48=0,0,$J48*SUMPRODUCT(('Cost baseline'!$C$4:$AB$4&gt;=$K48)*('Cost baseline'!$C$4:$AB$4&lt;=$L48)*('Cost baseline'!$C$5:$AB$5=Q$4))/($L48-$K48+1))</f>
        <v>0</v>
      </c>
      <c r="R48" s="44">
        <f>IF($J48=0,0,$J48*SUMPRODUCT(('Cost baseline'!$C$4:$AB$4&gt;=$K48)*('Cost baseline'!$C$4:$AB$4&lt;=$L48)*('Cost baseline'!$C$5:$AB$5=R$4))/($L48-$K48+1))</f>
        <v>0</v>
      </c>
    </row>
    <row r="49" spans="2:18" ht="18" customHeight="1" x14ac:dyDescent="0.3">
      <c r="B49" s="13" t="s">
        <v>121</v>
      </c>
      <c r="C49" s="13" t="str">
        <f>IFERROR(INDEX(WBS!$F$5:$F$44,MATCH($B49,WBS!$B$5:$B$44,0)),"")</f>
        <v>N</v>
      </c>
      <c r="D49" s="40" t="s">
        <v>320</v>
      </c>
      <c r="E49" s="40" t="s">
        <v>319</v>
      </c>
      <c r="F49" s="13"/>
      <c r="G49" s="51">
        <v>1</v>
      </c>
      <c r="H49" s="40" t="s">
        <v>290</v>
      </c>
      <c r="I49" s="41">
        <v>6</v>
      </c>
      <c r="J49" s="44">
        <f t="shared" si="1"/>
        <v>6</v>
      </c>
      <c r="K49" s="55">
        <f>INDEX('Hoạt động, lịch'!$L$5:$L$26,MATCH($C49,'Hoạt động, lịch'!$B$5:$B$26,0))+1</f>
        <v>12</v>
      </c>
      <c r="L49" s="55">
        <f>INDEX('Hoạt động, lịch'!$M$5:$M$26,MATCH($C49,'Hoạt động, lịch'!$B$5:$B$26,0))</f>
        <v>14</v>
      </c>
      <c r="M49" s="44">
        <f>IF($J49=0,0,$J49*SUMPRODUCT(('Cost baseline'!$C$4:$AB$4&gt;=$K49)*('Cost baseline'!$C$4:$AB$4&lt;=$L49)*('Cost baseline'!$C$5:$AB$5=M$4))/($L49-$K49+1))</f>
        <v>0</v>
      </c>
      <c r="N49" s="44">
        <f>IF($J49=0,0,$J49*SUMPRODUCT(('Cost baseline'!$C$4:$AB$4&gt;=$K49)*('Cost baseline'!$C$4:$AB$4&lt;=$L49)*('Cost baseline'!$C$5:$AB$5=N$4))/($L49-$K49+1))</f>
        <v>0</v>
      </c>
      <c r="O49" s="44">
        <f>IF($J49=0,0,$J49*SUMPRODUCT(('Cost baseline'!$C$4:$AB$4&gt;=$K49)*('Cost baseline'!$C$4:$AB$4&lt;=$L49)*('Cost baseline'!$C$5:$AB$5=O$4))/($L49-$K49+1))</f>
        <v>4</v>
      </c>
      <c r="P49" s="44">
        <f>IF($J49=0,0,$J49*SUMPRODUCT(('Cost baseline'!$C$4:$AB$4&gt;=$K49)*('Cost baseline'!$C$4:$AB$4&lt;=$L49)*('Cost baseline'!$C$5:$AB$5=P$4))/($L49-$K49+1))</f>
        <v>2</v>
      </c>
      <c r="Q49" s="44">
        <f>IF($J49=0,0,$J49*SUMPRODUCT(('Cost baseline'!$C$4:$AB$4&gt;=$K49)*('Cost baseline'!$C$4:$AB$4&lt;=$L49)*('Cost baseline'!$C$5:$AB$5=Q$4))/($L49-$K49+1))</f>
        <v>0</v>
      </c>
      <c r="R49" s="44">
        <f>IF($J49=0,0,$J49*SUMPRODUCT(('Cost baseline'!$C$4:$AB$4&gt;=$K49)*('Cost baseline'!$C$4:$AB$4&lt;=$L49)*('Cost baseline'!$C$5:$AB$5=R$4))/($L49-$K49+1))</f>
        <v>0</v>
      </c>
    </row>
    <row r="50" spans="2:18" ht="18" customHeight="1" x14ac:dyDescent="0.3">
      <c r="B50" s="13" t="s">
        <v>125</v>
      </c>
      <c r="C50" s="13" t="str">
        <f>IFERROR(INDEX(WBS!$F$5:$F$44,MATCH($B50,WBS!$B$5:$B$44,0)),"")</f>
        <v>O</v>
      </c>
      <c r="D50" s="40" t="s">
        <v>321</v>
      </c>
      <c r="E50" s="40" t="s">
        <v>269</v>
      </c>
      <c r="F50" s="13" t="s">
        <v>242</v>
      </c>
      <c r="G50" s="51">
        <v>20</v>
      </c>
      <c r="H50" s="40" t="s">
        <v>270</v>
      </c>
      <c r="I50" s="53">
        <f>INDEX('Nguồn lực'!$D$5:$D$8,MATCH($F50,'Nguồn lực'!$B$5:$B$8,0))</f>
        <v>1</v>
      </c>
      <c r="J50" s="44">
        <f t="shared" si="1"/>
        <v>20</v>
      </c>
      <c r="K50" s="55">
        <f>INDEX('Hoạt động, lịch'!$L$5:$L$26,MATCH($C50,'Hoạt động, lịch'!$B$5:$B$26,0))+1</f>
        <v>15</v>
      </c>
      <c r="L50" s="55">
        <f>INDEX('Hoạt động, lịch'!$M$5:$M$26,MATCH($C50,'Hoạt động, lịch'!$B$5:$B$26,0))</f>
        <v>20</v>
      </c>
      <c r="M50" s="44">
        <f>IF($J50=0,0,$J50*SUMPRODUCT(('Cost baseline'!$C$4:$AB$4&gt;=$K50)*('Cost baseline'!$C$4:$AB$4&lt;=$L50)*('Cost baseline'!$C$5:$AB$5=M$4))/($L50-$K50+1))</f>
        <v>0</v>
      </c>
      <c r="N50" s="44">
        <f>IF($J50=0,0,$J50*SUMPRODUCT(('Cost baseline'!$C$4:$AB$4&gt;=$K50)*('Cost baseline'!$C$4:$AB$4&lt;=$L50)*('Cost baseline'!$C$5:$AB$5=N$4))/($L50-$K50+1))</f>
        <v>0</v>
      </c>
      <c r="O50" s="44">
        <f>IF($J50=0,0,$J50*SUMPRODUCT(('Cost baseline'!$C$4:$AB$4&gt;=$K50)*('Cost baseline'!$C$4:$AB$4&lt;=$L50)*('Cost baseline'!$C$5:$AB$5=O$4))/($L50-$K50+1))</f>
        <v>0</v>
      </c>
      <c r="P50" s="44">
        <f>IF($J50=0,0,$J50*SUMPRODUCT(('Cost baseline'!$C$4:$AB$4&gt;=$K50)*('Cost baseline'!$C$4:$AB$4&lt;=$L50)*('Cost baseline'!$C$5:$AB$5=P$4))/($L50-$K50+1))</f>
        <v>13.333333333333334</v>
      </c>
      <c r="Q50" s="44">
        <f>IF($J50=0,0,$J50*SUMPRODUCT(('Cost baseline'!$C$4:$AB$4&gt;=$K50)*('Cost baseline'!$C$4:$AB$4&lt;=$L50)*('Cost baseline'!$C$5:$AB$5=Q$4))/($L50-$K50+1))</f>
        <v>6.666666666666667</v>
      </c>
      <c r="R50" s="44">
        <f>IF($J50=0,0,$J50*SUMPRODUCT(('Cost baseline'!$C$4:$AB$4&gt;=$K50)*('Cost baseline'!$C$4:$AB$4&lt;=$L50)*('Cost baseline'!$C$5:$AB$5=R$4))/($L50-$K50+1))</f>
        <v>0</v>
      </c>
    </row>
    <row r="51" spans="2:18" ht="18" customHeight="1" x14ac:dyDescent="0.3">
      <c r="B51" s="13" t="s">
        <v>125</v>
      </c>
      <c r="C51" s="13" t="str">
        <f>IFERROR(INDEX(WBS!$F$5:$F$44,MATCH($B51,WBS!$B$5:$B$44,0)),"")</f>
        <v>O</v>
      </c>
      <c r="D51" s="40" t="s">
        <v>322</v>
      </c>
      <c r="E51" s="40" t="s">
        <v>319</v>
      </c>
      <c r="F51" s="13"/>
      <c r="G51" s="51">
        <v>210</v>
      </c>
      <c r="H51" s="40" t="s">
        <v>323</v>
      </c>
      <c r="I51" s="41">
        <v>0.08</v>
      </c>
      <c r="J51" s="44">
        <f t="shared" si="1"/>
        <v>16.8</v>
      </c>
      <c r="K51" s="55">
        <f>INDEX('Hoạt động, lịch'!$L$5:$L$26,MATCH($C51,'Hoạt động, lịch'!$B$5:$B$26,0))+1</f>
        <v>15</v>
      </c>
      <c r="L51" s="55">
        <f>INDEX('Hoạt động, lịch'!$M$5:$M$26,MATCH($C51,'Hoạt động, lịch'!$B$5:$B$26,0))</f>
        <v>20</v>
      </c>
      <c r="M51" s="44">
        <f>IF($J51=0,0,$J51*SUMPRODUCT(('Cost baseline'!$C$4:$AB$4&gt;=$K51)*('Cost baseline'!$C$4:$AB$4&lt;=$L51)*('Cost baseline'!$C$5:$AB$5=M$4))/($L51-$K51+1))</f>
        <v>0</v>
      </c>
      <c r="N51" s="44">
        <f>IF($J51=0,0,$J51*SUMPRODUCT(('Cost baseline'!$C$4:$AB$4&gt;=$K51)*('Cost baseline'!$C$4:$AB$4&lt;=$L51)*('Cost baseline'!$C$5:$AB$5=N$4))/($L51-$K51+1))</f>
        <v>0</v>
      </c>
      <c r="O51" s="44">
        <f>IF($J51=0,0,$J51*SUMPRODUCT(('Cost baseline'!$C$4:$AB$4&gt;=$K51)*('Cost baseline'!$C$4:$AB$4&lt;=$L51)*('Cost baseline'!$C$5:$AB$5=O$4))/($L51-$K51+1))</f>
        <v>0</v>
      </c>
      <c r="P51" s="44">
        <f>IF($J51=0,0,$J51*SUMPRODUCT(('Cost baseline'!$C$4:$AB$4&gt;=$K51)*('Cost baseline'!$C$4:$AB$4&lt;=$L51)*('Cost baseline'!$C$5:$AB$5=P$4))/($L51-$K51+1))</f>
        <v>11.200000000000001</v>
      </c>
      <c r="Q51" s="44">
        <f>IF($J51=0,0,$J51*SUMPRODUCT(('Cost baseline'!$C$4:$AB$4&gt;=$K51)*('Cost baseline'!$C$4:$AB$4&lt;=$L51)*('Cost baseline'!$C$5:$AB$5=Q$4))/($L51-$K51+1))</f>
        <v>5.6000000000000005</v>
      </c>
      <c r="R51" s="44">
        <f>IF($J51=0,0,$J51*SUMPRODUCT(('Cost baseline'!$C$4:$AB$4&gt;=$K51)*('Cost baseline'!$C$4:$AB$4&lt;=$L51)*('Cost baseline'!$C$5:$AB$5=R$4))/($L51-$K51+1))</f>
        <v>0</v>
      </c>
    </row>
    <row r="52" spans="2:18" ht="18" customHeight="1" x14ac:dyDescent="0.3">
      <c r="B52" s="13" t="s">
        <v>125</v>
      </c>
      <c r="C52" s="13" t="str">
        <f>IFERROR(INDEX(WBS!$F$5:$F$44,MATCH($B52,WBS!$B$5:$B$44,0)),"")</f>
        <v>O</v>
      </c>
      <c r="D52" s="40" t="s">
        <v>324</v>
      </c>
      <c r="E52" s="40" t="s">
        <v>319</v>
      </c>
      <c r="F52" s="13"/>
      <c r="G52" s="51">
        <v>1</v>
      </c>
      <c r="H52" s="40" t="s">
        <v>290</v>
      </c>
      <c r="I52" s="41">
        <v>5.2</v>
      </c>
      <c r="J52" s="44">
        <f t="shared" si="1"/>
        <v>5.2</v>
      </c>
      <c r="K52" s="55">
        <f>INDEX('Hoạt động, lịch'!$L$5:$L$26,MATCH($C52,'Hoạt động, lịch'!$B$5:$B$26,0))+1</f>
        <v>15</v>
      </c>
      <c r="L52" s="55">
        <f>INDEX('Hoạt động, lịch'!$M$5:$M$26,MATCH($C52,'Hoạt động, lịch'!$B$5:$B$26,0))</f>
        <v>20</v>
      </c>
      <c r="M52" s="44">
        <f>IF($J52=0,0,$J52*SUMPRODUCT(('Cost baseline'!$C$4:$AB$4&gt;=$K52)*('Cost baseline'!$C$4:$AB$4&lt;=$L52)*('Cost baseline'!$C$5:$AB$5=M$4))/($L52-$K52+1))</f>
        <v>0</v>
      </c>
      <c r="N52" s="44">
        <f>IF($J52=0,0,$J52*SUMPRODUCT(('Cost baseline'!$C$4:$AB$4&gt;=$K52)*('Cost baseline'!$C$4:$AB$4&lt;=$L52)*('Cost baseline'!$C$5:$AB$5=N$4))/($L52-$K52+1))</f>
        <v>0</v>
      </c>
      <c r="O52" s="44">
        <f>IF($J52=0,0,$J52*SUMPRODUCT(('Cost baseline'!$C$4:$AB$4&gt;=$K52)*('Cost baseline'!$C$4:$AB$4&lt;=$L52)*('Cost baseline'!$C$5:$AB$5=O$4))/($L52-$K52+1))</f>
        <v>0</v>
      </c>
      <c r="P52" s="44">
        <f>IF($J52=0,0,$J52*SUMPRODUCT(('Cost baseline'!$C$4:$AB$4&gt;=$K52)*('Cost baseline'!$C$4:$AB$4&lt;=$L52)*('Cost baseline'!$C$5:$AB$5=P$4))/($L52-$K52+1))</f>
        <v>3.4666666666666668</v>
      </c>
      <c r="Q52" s="44">
        <f>IF($J52=0,0,$J52*SUMPRODUCT(('Cost baseline'!$C$4:$AB$4&gt;=$K52)*('Cost baseline'!$C$4:$AB$4&lt;=$L52)*('Cost baseline'!$C$5:$AB$5=Q$4))/($L52-$K52+1))</f>
        <v>1.7333333333333334</v>
      </c>
      <c r="R52" s="44">
        <f>IF($J52=0,0,$J52*SUMPRODUCT(('Cost baseline'!$C$4:$AB$4&gt;=$K52)*('Cost baseline'!$C$4:$AB$4&lt;=$L52)*('Cost baseline'!$C$5:$AB$5=R$4))/($L52-$K52+1))</f>
        <v>0</v>
      </c>
    </row>
    <row r="53" spans="2:18" ht="18" customHeight="1" x14ac:dyDescent="0.3">
      <c r="B53" s="13" t="s">
        <v>135</v>
      </c>
      <c r="C53" s="13" t="str">
        <f>IFERROR(INDEX(WBS!$F$5:$F$44,MATCH($B53,WBS!$B$5:$B$44,0)),"")</f>
        <v>P</v>
      </c>
      <c r="D53" s="40" t="s">
        <v>325</v>
      </c>
      <c r="E53" s="40" t="s">
        <v>269</v>
      </c>
      <c r="F53" s="13" t="s">
        <v>230</v>
      </c>
      <c r="G53" s="51">
        <v>5</v>
      </c>
      <c r="H53" s="40" t="s">
        <v>270</v>
      </c>
      <c r="I53" s="53">
        <f>INDEX('Nguồn lực'!$D$5:$D$8,MATCH($F53,'Nguồn lực'!$B$5:$B$8,0))</f>
        <v>2</v>
      </c>
      <c r="J53" s="44">
        <f t="shared" si="1"/>
        <v>10</v>
      </c>
      <c r="K53" s="55">
        <f>INDEX('Hoạt động, lịch'!$L$5:$L$26,MATCH($C53,'Hoạt động, lịch'!$B$5:$B$26,0))+1</f>
        <v>17</v>
      </c>
      <c r="L53" s="55">
        <f>INDEX('Hoạt động, lịch'!$M$5:$M$26,MATCH($C53,'Hoạt động, lịch'!$B$5:$B$26,0))</f>
        <v>18</v>
      </c>
      <c r="M53" s="44">
        <f>IF($J53=0,0,$J53*SUMPRODUCT(('Cost baseline'!$C$4:$AB$4&gt;=$K53)*('Cost baseline'!$C$4:$AB$4&lt;=$L53)*('Cost baseline'!$C$5:$AB$5=M$4))/($L53-$K53+1))</f>
        <v>0</v>
      </c>
      <c r="N53" s="44">
        <f>IF($J53=0,0,$J53*SUMPRODUCT(('Cost baseline'!$C$4:$AB$4&gt;=$K53)*('Cost baseline'!$C$4:$AB$4&lt;=$L53)*('Cost baseline'!$C$5:$AB$5=N$4))/($L53-$K53+1))</f>
        <v>0</v>
      </c>
      <c r="O53" s="44">
        <f>IF($J53=0,0,$J53*SUMPRODUCT(('Cost baseline'!$C$4:$AB$4&gt;=$K53)*('Cost baseline'!$C$4:$AB$4&lt;=$L53)*('Cost baseline'!$C$5:$AB$5=O$4))/($L53-$K53+1))</f>
        <v>0</v>
      </c>
      <c r="P53" s="44">
        <f>IF($J53=0,0,$J53*SUMPRODUCT(('Cost baseline'!$C$4:$AB$4&gt;=$K53)*('Cost baseline'!$C$4:$AB$4&lt;=$L53)*('Cost baseline'!$C$5:$AB$5=P$4))/($L53-$K53+1))</f>
        <v>10</v>
      </c>
      <c r="Q53" s="44">
        <f>IF($J53=0,0,$J53*SUMPRODUCT(('Cost baseline'!$C$4:$AB$4&gt;=$K53)*('Cost baseline'!$C$4:$AB$4&lt;=$L53)*('Cost baseline'!$C$5:$AB$5=Q$4))/($L53-$K53+1))</f>
        <v>0</v>
      </c>
      <c r="R53" s="44">
        <f>IF($J53=0,0,$J53*SUMPRODUCT(('Cost baseline'!$C$4:$AB$4&gt;=$K53)*('Cost baseline'!$C$4:$AB$4&lt;=$L53)*('Cost baseline'!$C$5:$AB$5=R$4))/($L53-$K53+1))</f>
        <v>0</v>
      </c>
    </row>
    <row r="54" spans="2:18" ht="18" customHeight="1" x14ac:dyDescent="0.3">
      <c r="B54" s="13" t="s">
        <v>135</v>
      </c>
      <c r="C54" s="13" t="str">
        <f>IFERROR(INDEX(WBS!$F$5:$F$44,MATCH($B54,WBS!$B$5:$B$44,0)),"")</f>
        <v>P</v>
      </c>
      <c r="D54" s="40" t="s">
        <v>326</v>
      </c>
      <c r="E54" s="40" t="s">
        <v>269</v>
      </c>
      <c r="F54" s="13" t="s">
        <v>242</v>
      </c>
      <c r="G54" s="51">
        <v>8</v>
      </c>
      <c r="H54" s="40" t="s">
        <v>270</v>
      </c>
      <c r="I54" s="53">
        <f>INDEX('Nguồn lực'!$D$5:$D$8,MATCH($F54,'Nguồn lực'!$B$5:$B$8,0))</f>
        <v>1</v>
      </c>
      <c r="J54" s="44">
        <f t="shared" si="1"/>
        <v>8</v>
      </c>
      <c r="K54" s="55">
        <f>INDEX('Hoạt động, lịch'!$L$5:$L$26,MATCH($C54,'Hoạt động, lịch'!$B$5:$B$26,0))+1</f>
        <v>17</v>
      </c>
      <c r="L54" s="55">
        <f>INDEX('Hoạt động, lịch'!$M$5:$M$26,MATCH($C54,'Hoạt động, lịch'!$B$5:$B$26,0))</f>
        <v>18</v>
      </c>
      <c r="M54" s="44">
        <f>IF($J54=0,0,$J54*SUMPRODUCT(('Cost baseline'!$C$4:$AB$4&gt;=$K54)*('Cost baseline'!$C$4:$AB$4&lt;=$L54)*('Cost baseline'!$C$5:$AB$5=M$4))/($L54-$K54+1))</f>
        <v>0</v>
      </c>
      <c r="N54" s="44">
        <f>IF($J54=0,0,$J54*SUMPRODUCT(('Cost baseline'!$C$4:$AB$4&gt;=$K54)*('Cost baseline'!$C$4:$AB$4&lt;=$L54)*('Cost baseline'!$C$5:$AB$5=N$4))/($L54-$K54+1))</f>
        <v>0</v>
      </c>
      <c r="O54" s="44">
        <f>IF($J54=0,0,$J54*SUMPRODUCT(('Cost baseline'!$C$4:$AB$4&gt;=$K54)*('Cost baseline'!$C$4:$AB$4&lt;=$L54)*('Cost baseline'!$C$5:$AB$5=O$4))/($L54-$K54+1))</f>
        <v>0</v>
      </c>
      <c r="P54" s="44">
        <f>IF($J54=0,0,$J54*SUMPRODUCT(('Cost baseline'!$C$4:$AB$4&gt;=$K54)*('Cost baseline'!$C$4:$AB$4&lt;=$L54)*('Cost baseline'!$C$5:$AB$5=P$4))/($L54-$K54+1))</f>
        <v>8</v>
      </c>
      <c r="Q54" s="44">
        <f>IF($J54=0,0,$J54*SUMPRODUCT(('Cost baseline'!$C$4:$AB$4&gt;=$K54)*('Cost baseline'!$C$4:$AB$4&lt;=$L54)*('Cost baseline'!$C$5:$AB$5=Q$4))/($L54-$K54+1))</f>
        <v>0</v>
      </c>
      <c r="R54" s="44">
        <f>IF($J54=0,0,$J54*SUMPRODUCT(('Cost baseline'!$C$4:$AB$4&gt;=$K54)*('Cost baseline'!$C$4:$AB$4&lt;=$L54)*('Cost baseline'!$C$5:$AB$5=R$4))/($L54-$K54+1))</f>
        <v>0</v>
      </c>
    </row>
    <row r="55" spans="2:18" ht="18" customHeight="1" x14ac:dyDescent="0.3">
      <c r="B55" s="13" t="s">
        <v>135</v>
      </c>
      <c r="C55" s="13" t="str">
        <f>IFERROR(INDEX(WBS!$F$5:$F$44,MATCH($B55,WBS!$B$5:$B$44,0)),"")</f>
        <v>P</v>
      </c>
      <c r="D55" s="40" t="s">
        <v>327</v>
      </c>
      <c r="E55" s="40" t="s">
        <v>289</v>
      </c>
      <c r="F55" s="13"/>
      <c r="G55" s="51">
        <v>3</v>
      </c>
      <c r="H55" s="40" t="s">
        <v>292</v>
      </c>
      <c r="I55" s="41">
        <v>3</v>
      </c>
      <c r="J55" s="44">
        <f t="shared" si="1"/>
        <v>9</v>
      </c>
      <c r="K55" s="54">
        <v>17</v>
      </c>
      <c r="L55" s="54">
        <v>26</v>
      </c>
      <c r="M55" s="44">
        <f>IF($J55=0,0,$J55*SUMPRODUCT(('Cost baseline'!$C$4:$AB$4&gt;=$K55)*('Cost baseline'!$C$4:$AB$4&lt;=$L55)*('Cost baseline'!$C$5:$AB$5=M$4))/($L55-$K55+1))</f>
        <v>0</v>
      </c>
      <c r="N55" s="44">
        <f>IF($J55=0,0,$J55*SUMPRODUCT(('Cost baseline'!$C$4:$AB$4&gt;=$K55)*('Cost baseline'!$C$4:$AB$4&lt;=$L55)*('Cost baseline'!$C$5:$AB$5=N$4))/($L55-$K55+1))</f>
        <v>0</v>
      </c>
      <c r="O55" s="44">
        <f>IF($J55=0,0,$J55*SUMPRODUCT(('Cost baseline'!$C$4:$AB$4&gt;=$K55)*('Cost baseline'!$C$4:$AB$4&lt;=$L55)*('Cost baseline'!$C$5:$AB$5=O$4))/($L55-$K55+1))</f>
        <v>0</v>
      </c>
      <c r="P55" s="44">
        <f>IF($J55=0,0,$J55*SUMPRODUCT(('Cost baseline'!$C$4:$AB$4&gt;=$K55)*('Cost baseline'!$C$4:$AB$4&lt;=$L55)*('Cost baseline'!$C$5:$AB$5=P$4))/($L55-$K55+1))</f>
        <v>1.8</v>
      </c>
      <c r="Q55" s="44">
        <f>IF($J55=0,0,$J55*SUMPRODUCT(('Cost baseline'!$C$4:$AB$4&gt;=$K55)*('Cost baseline'!$C$4:$AB$4&lt;=$L55)*('Cost baseline'!$C$5:$AB$5=Q$4))/($L55-$K55+1))</f>
        <v>3.6</v>
      </c>
      <c r="R55" s="44">
        <f>IF($J55=0,0,$J55*SUMPRODUCT(('Cost baseline'!$C$4:$AB$4&gt;=$K55)*('Cost baseline'!$C$4:$AB$4&lt;=$L55)*('Cost baseline'!$C$5:$AB$5=R$4))/($L55-$K55+1))</f>
        <v>3.6</v>
      </c>
    </row>
    <row r="56" spans="2:18" ht="18" customHeight="1" x14ac:dyDescent="0.3">
      <c r="B56" s="13" t="s">
        <v>139</v>
      </c>
      <c r="C56" s="13" t="str">
        <f>IFERROR(INDEX(WBS!$F$5:$F$44,MATCH($B56,WBS!$B$5:$B$44,0)),"")</f>
        <v>Q</v>
      </c>
      <c r="D56" s="40" t="s">
        <v>328</v>
      </c>
      <c r="E56" s="40" t="s">
        <v>269</v>
      </c>
      <c r="F56" s="13" t="s">
        <v>230</v>
      </c>
      <c r="G56" s="51">
        <v>4</v>
      </c>
      <c r="H56" s="40" t="s">
        <v>270</v>
      </c>
      <c r="I56" s="53">
        <f>INDEX('Nguồn lực'!$D$5:$D$8,MATCH($F56,'Nguồn lực'!$B$5:$B$8,0))</f>
        <v>2</v>
      </c>
      <c r="J56" s="44">
        <f t="shared" si="1"/>
        <v>8</v>
      </c>
      <c r="K56" s="55">
        <f>INDEX('Hoạt động, lịch'!$L$5:$L$26,MATCH($C56,'Hoạt động, lịch'!$B$5:$B$26,0))+1</f>
        <v>19</v>
      </c>
      <c r="L56" s="55">
        <f>INDEX('Hoạt động, lịch'!$M$5:$M$26,MATCH($C56,'Hoạt động, lịch'!$B$5:$B$26,0))</f>
        <v>22</v>
      </c>
      <c r="M56" s="44">
        <f>IF($J56=0,0,$J56*SUMPRODUCT(('Cost baseline'!$C$4:$AB$4&gt;=$K56)*('Cost baseline'!$C$4:$AB$4&lt;=$L56)*('Cost baseline'!$C$5:$AB$5=M$4))/($L56-$K56+1))</f>
        <v>0</v>
      </c>
      <c r="N56" s="44">
        <f>IF($J56=0,0,$J56*SUMPRODUCT(('Cost baseline'!$C$4:$AB$4&gt;=$K56)*('Cost baseline'!$C$4:$AB$4&lt;=$L56)*('Cost baseline'!$C$5:$AB$5=N$4))/($L56-$K56+1))</f>
        <v>0</v>
      </c>
      <c r="O56" s="44">
        <f>IF($J56=0,0,$J56*SUMPRODUCT(('Cost baseline'!$C$4:$AB$4&gt;=$K56)*('Cost baseline'!$C$4:$AB$4&lt;=$L56)*('Cost baseline'!$C$5:$AB$5=O$4))/($L56-$K56+1))</f>
        <v>0</v>
      </c>
      <c r="P56" s="44">
        <f>IF($J56=0,0,$J56*SUMPRODUCT(('Cost baseline'!$C$4:$AB$4&gt;=$K56)*('Cost baseline'!$C$4:$AB$4&lt;=$L56)*('Cost baseline'!$C$5:$AB$5=P$4))/($L56-$K56+1))</f>
        <v>0</v>
      </c>
      <c r="Q56" s="44">
        <f>IF($J56=0,0,$J56*SUMPRODUCT(('Cost baseline'!$C$4:$AB$4&gt;=$K56)*('Cost baseline'!$C$4:$AB$4&lt;=$L56)*('Cost baseline'!$C$5:$AB$5=Q$4))/($L56-$K56+1))</f>
        <v>8</v>
      </c>
      <c r="R56" s="44">
        <f>IF($J56=0,0,$J56*SUMPRODUCT(('Cost baseline'!$C$4:$AB$4&gt;=$K56)*('Cost baseline'!$C$4:$AB$4&lt;=$L56)*('Cost baseline'!$C$5:$AB$5=R$4))/($L56-$K56+1))</f>
        <v>0</v>
      </c>
    </row>
    <row r="57" spans="2:18" ht="18" customHeight="1" x14ac:dyDescent="0.3">
      <c r="B57" s="13" t="s">
        <v>139</v>
      </c>
      <c r="C57" s="13" t="str">
        <f>IFERROR(INDEX(WBS!$F$5:$F$44,MATCH($B57,WBS!$B$5:$B$44,0)),"")</f>
        <v>Q</v>
      </c>
      <c r="D57" s="40" t="s">
        <v>329</v>
      </c>
      <c r="E57" s="40" t="s">
        <v>269</v>
      </c>
      <c r="F57" s="13" t="s">
        <v>242</v>
      </c>
      <c r="G57" s="51">
        <v>12</v>
      </c>
      <c r="H57" s="40" t="s">
        <v>270</v>
      </c>
      <c r="I57" s="53">
        <f>INDEX('Nguồn lực'!$D$5:$D$8,MATCH($F57,'Nguồn lực'!$B$5:$B$8,0))</f>
        <v>1</v>
      </c>
      <c r="J57" s="44">
        <f t="shared" si="1"/>
        <v>12</v>
      </c>
      <c r="K57" s="55">
        <f>INDEX('Hoạt động, lịch'!$L$5:$L$26,MATCH($C57,'Hoạt động, lịch'!$B$5:$B$26,0))+1</f>
        <v>19</v>
      </c>
      <c r="L57" s="55">
        <f>INDEX('Hoạt động, lịch'!$M$5:$M$26,MATCH($C57,'Hoạt động, lịch'!$B$5:$B$26,0))</f>
        <v>22</v>
      </c>
      <c r="M57" s="44">
        <f>IF($J57=0,0,$J57*SUMPRODUCT(('Cost baseline'!$C$4:$AB$4&gt;=$K57)*('Cost baseline'!$C$4:$AB$4&lt;=$L57)*('Cost baseline'!$C$5:$AB$5=M$4))/($L57-$K57+1))</f>
        <v>0</v>
      </c>
      <c r="N57" s="44">
        <f>IF($J57=0,0,$J57*SUMPRODUCT(('Cost baseline'!$C$4:$AB$4&gt;=$K57)*('Cost baseline'!$C$4:$AB$4&lt;=$L57)*('Cost baseline'!$C$5:$AB$5=N$4))/($L57-$K57+1))</f>
        <v>0</v>
      </c>
      <c r="O57" s="44">
        <f>IF($J57=0,0,$J57*SUMPRODUCT(('Cost baseline'!$C$4:$AB$4&gt;=$K57)*('Cost baseline'!$C$4:$AB$4&lt;=$L57)*('Cost baseline'!$C$5:$AB$5=O$4))/($L57-$K57+1))</f>
        <v>0</v>
      </c>
      <c r="P57" s="44">
        <f>IF($J57=0,0,$J57*SUMPRODUCT(('Cost baseline'!$C$4:$AB$4&gt;=$K57)*('Cost baseline'!$C$4:$AB$4&lt;=$L57)*('Cost baseline'!$C$5:$AB$5=P$4))/($L57-$K57+1))</f>
        <v>0</v>
      </c>
      <c r="Q57" s="44">
        <f>IF($J57=0,0,$J57*SUMPRODUCT(('Cost baseline'!$C$4:$AB$4&gt;=$K57)*('Cost baseline'!$C$4:$AB$4&lt;=$L57)*('Cost baseline'!$C$5:$AB$5=Q$4))/($L57-$K57+1))</f>
        <v>12</v>
      </c>
      <c r="R57" s="44">
        <f>IF($J57=0,0,$J57*SUMPRODUCT(('Cost baseline'!$C$4:$AB$4&gt;=$K57)*('Cost baseline'!$C$4:$AB$4&lt;=$L57)*('Cost baseline'!$C$5:$AB$5=R$4))/($L57-$K57+1))</f>
        <v>0</v>
      </c>
    </row>
    <row r="58" spans="2:18" ht="18" customHeight="1" x14ac:dyDescent="0.3">
      <c r="B58" s="13" t="s">
        <v>139</v>
      </c>
      <c r="C58" s="13" t="str">
        <f>IFERROR(INDEX(WBS!$F$5:$F$44,MATCH($B58,WBS!$B$5:$B$44,0)),"")</f>
        <v>Q</v>
      </c>
      <c r="D58" s="40" t="s">
        <v>330</v>
      </c>
      <c r="E58" s="40" t="s">
        <v>289</v>
      </c>
      <c r="F58" s="13"/>
      <c r="G58" s="51">
        <v>8</v>
      </c>
      <c r="H58" s="40" t="s">
        <v>331</v>
      </c>
      <c r="I58" s="41">
        <v>3</v>
      </c>
      <c r="J58" s="44">
        <f t="shared" si="1"/>
        <v>24</v>
      </c>
      <c r="K58" s="54">
        <v>19</v>
      </c>
      <c r="L58" s="54">
        <v>26</v>
      </c>
      <c r="M58" s="44">
        <f>IF($J58=0,0,$J58*SUMPRODUCT(('Cost baseline'!$C$4:$AB$4&gt;=$K58)*('Cost baseline'!$C$4:$AB$4&lt;=$L58)*('Cost baseline'!$C$5:$AB$5=M$4))/($L58-$K58+1))</f>
        <v>0</v>
      </c>
      <c r="N58" s="44">
        <f>IF($J58=0,0,$J58*SUMPRODUCT(('Cost baseline'!$C$4:$AB$4&gt;=$K58)*('Cost baseline'!$C$4:$AB$4&lt;=$L58)*('Cost baseline'!$C$5:$AB$5=N$4))/($L58-$K58+1))</f>
        <v>0</v>
      </c>
      <c r="O58" s="44">
        <f>IF($J58=0,0,$J58*SUMPRODUCT(('Cost baseline'!$C$4:$AB$4&gt;=$K58)*('Cost baseline'!$C$4:$AB$4&lt;=$L58)*('Cost baseline'!$C$5:$AB$5=O$4))/($L58-$K58+1))</f>
        <v>0</v>
      </c>
      <c r="P58" s="44">
        <f>IF($J58=0,0,$J58*SUMPRODUCT(('Cost baseline'!$C$4:$AB$4&gt;=$K58)*('Cost baseline'!$C$4:$AB$4&lt;=$L58)*('Cost baseline'!$C$5:$AB$5=P$4))/($L58-$K58+1))</f>
        <v>0</v>
      </c>
      <c r="Q58" s="44">
        <f>IF($J58=0,0,$J58*SUMPRODUCT(('Cost baseline'!$C$4:$AB$4&gt;=$K58)*('Cost baseline'!$C$4:$AB$4&lt;=$L58)*('Cost baseline'!$C$5:$AB$5=Q$4))/($L58-$K58+1))</f>
        <v>12</v>
      </c>
      <c r="R58" s="44">
        <f>IF($J58=0,0,$J58*SUMPRODUCT(('Cost baseline'!$C$4:$AB$4&gt;=$K58)*('Cost baseline'!$C$4:$AB$4&lt;=$L58)*('Cost baseline'!$C$5:$AB$5=R$4))/($L58-$K58+1))</f>
        <v>12</v>
      </c>
    </row>
    <row r="59" spans="2:18" ht="18" customHeight="1" x14ac:dyDescent="0.3">
      <c r="B59" s="13" t="s">
        <v>143</v>
      </c>
      <c r="C59" s="13" t="str">
        <f>IFERROR(INDEX(WBS!$F$5:$F$44,MATCH($B59,WBS!$B$5:$B$44,0)),"")</f>
        <v>R</v>
      </c>
      <c r="D59" s="40" t="s">
        <v>332</v>
      </c>
      <c r="E59" s="40" t="s">
        <v>269</v>
      </c>
      <c r="F59" s="13" t="s">
        <v>230</v>
      </c>
      <c r="G59" s="51">
        <v>10</v>
      </c>
      <c r="H59" s="40" t="s">
        <v>270</v>
      </c>
      <c r="I59" s="53">
        <f>INDEX('Nguồn lực'!$D$5:$D$8,MATCH($F59,'Nguồn lực'!$B$5:$B$8,0))</f>
        <v>2</v>
      </c>
      <c r="J59" s="44">
        <f t="shared" si="1"/>
        <v>20</v>
      </c>
      <c r="K59" s="55">
        <f>INDEX('Hoạt động, lịch'!$L$5:$L$26,MATCH($C59,'Hoạt động, lịch'!$B$5:$B$26,0))+1</f>
        <v>23</v>
      </c>
      <c r="L59" s="55">
        <f>INDEX('Hoạt động, lịch'!$M$5:$M$26,MATCH($C59,'Hoạt động, lịch'!$B$5:$B$26,0))</f>
        <v>25</v>
      </c>
      <c r="M59" s="44">
        <f>IF($J59=0,0,$J59*SUMPRODUCT(('Cost baseline'!$C$4:$AB$4&gt;=$K59)*('Cost baseline'!$C$4:$AB$4&lt;=$L59)*('Cost baseline'!$C$5:$AB$5=M$4))/($L59-$K59+1))</f>
        <v>0</v>
      </c>
      <c r="N59" s="44">
        <f>IF($J59=0,0,$J59*SUMPRODUCT(('Cost baseline'!$C$4:$AB$4&gt;=$K59)*('Cost baseline'!$C$4:$AB$4&lt;=$L59)*('Cost baseline'!$C$5:$AB$5=N$4))/($L59-$K59+1))</f>
        <v>0</v>
      </c>
      <c r="O59" s="44">
        <f>IF($J59=0,0,$J59*SUMPRODUCT(('Cost baseline'!$C$4:$AB$4&gt;=$K59)*('Cost baseline'!$C$4:$AB$4&lt;=$L59)*('Cost baseline'!$C$5:$AB$5=O$4))/($L59-$K59+1))</f>
        <v>0</v>
      </c>
      <c r="P59" s="44">
        <f>IF($J59=0,0,$J59*SUMPRODUCT(('Cost baseline'!$C$4:$AB$4&gt;=$K59)*('Cost baseline'!$C$4:$AB$4&lt;=$L59)*('Cost baseline'!$C$5:$AB$5=P$4))/($L59-$K59+1))</f>
        <v>0</v>
      </c>
      <c r="Q59" s="44">
        <f>IF($J59=0,0,$J59*SUMPRODUCT(('Cost baseline'!$C$4:$AB$4&gt;=$K59)*('Cost baseline'!$C$4:$AB$4&lt;=$L59)*('Cost baseline'!$C$5:$AB$5=Q$4))/($L59-$K59+1))</f>
        <v>0</v>
      </c>
      <c r="R59" s="44">
        <f>IF($J59=0,0,$J59*SUMPRODUCT(('Cost baseline'!$C$4:$AB$4&gt;=$K59)*('Cost baseline'!$C$4:$AB$4&lt;=$L59)*('Cost baseline'!$C$5:$AB$5=R$4))/($L59-$K59+1))</f>
        <v>20</v>
      </c>
    </row>
    <row r="60" spans="2:18" ht="18" customHeight="1" x14ac:dyDescent="0.3">
      <c r="B60" s="13" t="s">
        <v>150</v>
      </c>
      <c r="C60" s="13" t="str">
        <f>IFERROR(INDEX(WBS!$F$5:$F$44,MATCH($B60,WBS!$B$5:$B$44,0)),"")</f>
        <v>S</v>
      </c>
      <c r="D60" s="40" t="s">
        <v>333</v>
      </c>
      <c r="E60" s="40" t="s">
        <v>269</v>
      </c>
      <c r="F60" s="13" t="s">
        <v>230</v>
      </c>
      <c r="G60" s="51">
        <v>1</v>
      </c>
      <c r="H60" s="40" t="s">
        <v>270</v>
      </c>
      <c r="I60" s="53">
        <f>INDEX('Nguồn lực'!$D$5:$D$8,MATCH($F60,'Nguồn lực'!$B$5:$B$8,0))</f>
        <v>2</v>
      </c>
      <c r="J60" s="44">
        <f t="shared" si="1"/>
        <v>2</v>
      </c>
      <c r="K60" s="55">
        <f>INDEX('Hoạt động, lịch'!$L$5:$L$26,MATCH($C60,'Hoạt động, lịch'!$B$5:$B$26,0))+1</f>
        <v>26</v>
      </c>
      <c r="L60" s="55">
        <f>INDEX('Hoạt động, lịch'!$M$5:$M$26,MATCH($C60,'Hoạt động, lịch'!$B$5:$B$26,0))</f>
        <v>26</v>
      </c>
      <c r="M60" s="44">
        <f>IF($J60=0,0,$J60*SUMPRODUCT(('Cost baseline'!$C$4:$AB$4&gt;=$K60)*('Cost baseline'!$C$4:$AB$4&lt;=$L60)*('Cost baseline'!$C$5:$AB$5=M$4))/($L60-$K60+1))</f>
        <v>0</v>
      </c>
      <c r="N60" s="44">
        <f>IF($J60=0,0,$J60*SUMPRODUCT(('Cost baseline'!$C$4:$AB$4&gt;=$K60)*('Cost baseline'!$C$4:$AB$4&lt;=$L60)*('Cost baseline'!$C$5:$AB$5=N$4))/($L60-$K60+1))</f>
        <v>0</v>
      </c>
      <c r="O60" s="44">
        <f>IF($J60=0,0,$J60*SUMPRODUCT(('Cost baseline'!$C$4:$AB$4&gt;=$K60)*('Cost baseline'!$C$4:$AB$4&lt;=$L60)*('Cost baseline'!$C$5:$AB$5=O$4))/($L60-$K60+1))</f>
        <v>0</v>
      </c>
      <c r="P60" s="44">
        <f>IF($J60=0,0,$J60*SUMPRODUCT(('Cost baseline'!$C$4:$AB$4&gt;=$K60)*('Cost baseline'!$C$4:$AB$4&lt;=$L60)*('Cost baseline'!$C$5:$AB$5=P$4))/($L60-$K60+1))</f>
        <v>0</v>
      </c>
      <c r="Q60" s="44">
        <f>IF($J60=0,0,$J60*SUMPRODUCT(('Cost baseline'!$C$4:$AB$4&gt;=$K60)*('Cost baseline'!$C$4:$AB$4&lt;=$L60)*('Cost baseline'!$C$5:$AB$5=Q$4))/($L60-$K60+1))</f>
        <v>0</v>
      </c>
      <c r="R60" s="44">
        <f>IF($J60=0,0,$J60*SUMPRODUCT(('Cost baseline'!$C$4:$AB$4&gt;=$K60)*('Cost baseline'!$C$4:$AB$4&lt;=$L60)*('Cost baseline'!$C$5:$AB$5=R$4))/($L60-$K60+1))</f>
        <v>2</v>
      </c>
    </row>
    <row r="61" spans="2:18" ht="18" customHeight="1" x14ac:dyDescent="0.3">
      <c r="B61" s="13" t="s">
        <v>150</v>
      </c>
      <c r="C61" s="13" t="str">
        <f>IFERROR(INDEX(WBS!$F$5:$F$44,MATCH($B61,WBS!$B$5:$B$44,0)),"")</f>
        <v>S</v>
      </c>
      <c r="D61" s="40" t="s">
        <v>334</v>
      </c>
      <c r="E61" s="40" t="s">
        <v>269</v>
      </c>
      <c r="F61" s="13" t="s">
        <v>238</v>
      </c>
      <c r="G61" s="51">
        <v>5</v>
      </c>
      <c r="H61" s="40" t="s">
        <v>270</v>
      </c>
      <c r="I61" s="53">
        <f>INDEX('Nguồn lực'!$D$5:$D$8,MATCH($F61,'Nguồn lực'!$B$5:$B$8,0))</f>
        <v>1.5</v>
      </c>
      <c r="J61" s="44">
        <f t="shared" si="1"/>
        <v>7.5</v>
      </c>
      <c r="K61" s="55">
        <f>INDEX('Hoạt động, lịch'!$L$5:$L$26,MATCH($C61,'Hoạt động, lịch'!$B$5:$B$26,0))+1</f>
        <v>26</v>
      </c>
      <c r="L61" s="55">
        <f>INDEX('Hoạt động, lịch'!$M$5:$M$26,MATCH($C61,'Hoạt động, lịch'!$B$5:$B$26,0))</f>
        <v>26</v>
      </c>
      <c r="M61" s="44">
        <f>IF($J61=0,0,$J61*SUMPRODUCT(('Cost baseline'!$C$4:$AB$4&gt;=$K61)*('Cost baseline'!$C$4:$AB$4&lt;=$L61)*('Cost baseline'!$C$5:$AB$5=M$4))/($L61-$K61+1))</f>
        <v>0</v>
      </c>
      <c r="N61" s="44">
        <f>IF($J61=0,0,$J61*SUMPRODUCT(('Cost baseline'!$C$4:$AB$4&gt;=$K61)*('Cost baseline'!$C$4:$AB$4&lt;=$L61)*('Cost baseline'!$C$5:$AB$5=N$4))/($L61-$K61+1))</f>
        <v>0</v>
      </c>
      <c r="O61" s="44">
        <f>IF($J61=0,0,$J61*SUMPRODUCT(('Cost baseline'!$C$4:$AB$4&gt;=$K61)*('Cost baseline'!$C$4:$AB$4&lt;=$L61)*('Cost baseline'!$C$5:$AB$5=O$4))/($L61-$K61+1))</f>
        <v>0</v>
      </c>
      <c r="P61" s="44">
        <f>IF($J61=0,0,$J61*SUMPRODUCT(('Cost baseline'!$C$4:$AB$4&gt;=$K61)*('Cost baseline'!$C$4:$AB$4&lt;=$L61)*('Cost baseline'!$C$5:$AB$5=P$4))/($L61-$K61+1))</f>
        <v>0</v>
      </c>
      <c r="Q61" s="44">
        <f>IF($J61=0,0,$J61*SUMPRODUCT(('Cost baseline'!$C$4:$AB$4&gt;=$K61)*('Cost baseline'!$C$4:$AB$4&lt;=$L61)*('Cost baseline'!$C$5:$AB$5=Q$4))/($L61-$K61+1))</f>
        <v>0</v>
      </c>
      <c r="R61" s="44">
        <f>IF($J61=0,0,$J61*SUMPRODUCT(('Cost baseline'!$C$4:$AB$4&gt;=$K61)*('Cost baseline'!$C$4:$AB$4&lt;=$L61)*('Cost baseline'!$C$5:$AB$5=R$4))/($L61-$K61+1))</f>
        <v>7.5</v>
      </c>
    </row>
    <row r="62" spans="2:18" ht="18" customHeight="1" x14ac:dyDescent="0.3">
      <c r="B62" s="13" t="s">
        <v>150</v>
      </c>
      <c r="C62" s="13" t="str">
        <f>IFERROR(INDEX(WBS!$F$5:$F$44,MATCH($B62,WBS!$B$5:$B$44,0)),"")</f>
        <v>S</v>
      </c>
      <c r="D62" s="40" t="s">
        <v>335</v>
      </c>
      <c r="E62" s="40" t="s">
        <v>269</v>
      </c>
      <c r="F62" s="13" t="s">
        <v>242</v>
      </c>
      <c r="G62" s="51">
        <v>3</v>
      </c>
      <c r="H62" s="40" t="s">
        <v>270</v>
      </c>
      <c r="I62" s="53">
        <f>INDEX('Nguồn lực'!$D$5:$D$8,MATCH($F62,'Nguồn lực'!$B$5:$B$8,0))</f>
        <v>1</v>
      </c>
      <c r="J62" s="44">
        <f t="shared" si="1"/>
        <v>3</v>
      </c>
      <c r="K62" s="55">
        <f>INDEX('Hoạt động, lịch'!$L$5:$L$26,MATCH($C62,'Hoạt động, lịch'!$B$5:$B$26,0))+1</f>
        <v>26</v>
      </c>
      <c r="L62" s="55">
        <f>INDEX('Hoạt động, lịch'!$M$5:$M$26,MATCH($C62,'Hoạt động, lịch'!$B$5:$B$26,0))</f>
        <v>26</v>
      </c>
      <c r="M62" s="44">
        <f>IF($J62=0,0,$J62*SUMPRODUCT(('Cost baseline'!$C$4:$AB$4&gt;=$K62)*('Cost baseline'!$C$4:$AB$4&lt;=$L62)*('Cost baseline'!$C$5:$AB$5=M$4))/($L62-$K62+1))</f>
        <v>0</v>
      </c>
      <c r="N62" s="44">
        <f>IF($J62=0,0,$J62*SUMPRODUCT(('Cost baseline'!$C$4:$AB$4&gt;=$K62)*('Cost baseline'!$C$4:$AB$4&lt;=$L62)*('Cost baseline'!$C$5:$AB$5=N$4))/($L62-$K62+1))</f>
        <v>0</v>
      </c>
      <c r="O62" s="44">
        <f>IF($J62=0,0,$J62*SUMPRODUCT(('Cost baseline'!$C$4:$AB$4&gt;=$K62)*('Cost baseline'!$C$4:$AB$4&lt;=$L62)*('Cost baseline'!$C$5:$AB$5=O$4))/($L62-$K62+1))</f>
        <v>0</v>
      </c>
      <c r="P62" s="44">
        <f>IF($J62=0,0,$J62*SUMPRODUCT(('Cost baseline'!$C$4:$AB$4&gt;=$K62)*('Cost baseline'!$C$4:$AB$4&lt;=$L62)*('Cost baseline'!$C$5:$AB$5=P$4))/($L62-$K62+1))</f>
        <v>0</v>
      </c>
      <c r="Q62" s="44">
        <f>IF($J62=0,0,$J62*SUMPRODUCT(('Cost baseline'!$C$4:$AB$4&gt;=$K62)*('Cost baseline'!$C$4:$AB$4&lt;=$L62)*('Cost baseline'!$C$5:$AB$5=Q$4))/($L62-$K62+1))</f>
        <v>0</v>
      </c>
      <c r="R62" s="44">
        <f>IF($J62=0,0,$J62*SUMPRODUCT(('Cost baseline'!$C$4:$AB$4&gt;=$K62)*('Cost baseline'!$C$4:$AB$4&lt;=$L62)*('Cost baseline'!$C$5:$AB$5=R$4))/($L62-$K62+1))</f>
        <v>3</v>
      </c>
    </row>
    <row r="63" spans="2:18" ht="18" customHeight="1" x14ac:dyDescent="0.3">
      <c r="B63" s="13" t="s">
        <v>154</v>
      </c>
      <c r="C63" s="13" t="str">
        <f>IFERROR(INDEX(WBS!$F$5:$F$44,MATCH($B63,WBS!$B$5:$B$44,0)),"")</f>
        <v>T</v>
      </c>
      <c r="D63" s="40" t="s">
        <v>336</v>
      </c>
      <c r="E63" s="40" t="s">
        <v>269</v>
      </c>
      <c r="F63" s="13" t="s">
        <v>238</v>
      </c>
      <c r="G63" s="51">
        <v>3</v>
      </c>
      <c r="H63" s="40" t="s">
        <v>270</v>
      </c>
      <c r="I63" s="53">
        <f>INDEX('Nguồn lực'!$D$5:$D$8,MATCH($F63,'Nguồn lực'!$B$5:$B$8,0))</f>
        <v>1.5</v>
      </c>
      <c r="J63" s="44">
        <f t="shared" si="1"/>
        <v>4.5</v>
      </c>
      <c r="K63" s="55">
        <f>INDEX('Hoạt động, lịch'!$L$5:$L$26,MATCH($C63,'Hoạt động, lịch'!$B$5:$B$26,0))+1</f>
        <v>26</v>
      </c>
      <c r="L63" s="55">
        <f>INDEX('Hoạt động, lịch'!$M$5:$M$26,MATCH($C63,'Hoạt động, lịch'!$B$5:$B$26,0))</f>
        <v>26</v>
      </c>
      <c r="M63" s="44">
        <f>IF($J63=0,0,$J63*SUMPRODUCT(('Cost baseline'!$C$4:$AB$4&gt;=$K63)*('Cost baseline'!$C$4:$AB$4&lt;=$L63)*('Cost baseline'!$C$5:$AB$5=M$4))/($L63-$K63+1))</f>
        <v>0</v>
      </c>
      <c r="N63" s="44">
        <f>IF($J63=0,0,$J63*SUMPRODUCT(('Cost baseline'!$C$4:$AB$4&gt;=$K63)*('Cost baseline'!$C$4:$AB$4&lt;=$L63)*('Cost baseline'!$C$5:$AB$5=N$4))/($L63-$K63+1))</f>
        <v>0</v>
      </c>
      <c r="O63" s="44">
        <f>IF($J63=0,0,$J63*SUMPRODUCT(('Cost baseline'!$C$4:$AB$4&gt;=$K63)*('Cost baseline'!$C$4:$AB$4&lt;=$L63)*('Cost baseline'!$C$5:$AB$5=O$4))/($L63-$K63+1))</f>
        <v>0</v>
      </c>
      <c r="P63" s="44">
        <f>IF($J63=0,0,$J63*SUMPRODUCT(('Cost baseline'!$C$4:$AB$4&gt;=$K63)*('Cost baseline'!$C$4:$AB$4&lt;=$L63)*('Cost baseline'!$C$5:$AB$5=P$4))/($L63-$K63+1))</f>
        <v>0</v>
      </c>
      <c r="Q63" s="44">
        <f>IF($J63=0,0,$J63*SUMPRODUCT(('Cost baseline'!$C$4:$AB$4&gt;=$K63)*('Cost baseline'!$C$4:$AB$4&lt;=$L63)*('Cost baseline'!$C$5:$AB$5=Q$4))/($L63-$K63+1))</f>
        <v>0</v>
      </c>
      <c r="R63" s="44">
        <f>IF($J63=0,0,$J63*SUMPRODUCT(('Cost baseline'!$C$4:$AB$4&gt;=$K63)*('Cost baseline'!$C$4:$AB$4&lt;=$L63)*('Cost baseline'!$C$5:$AB$5=R$4))/($L63-$K63+1))</f>
        <v>4.5</v>
      </c>
    </row>
    <row r="64" spans="2:18" ht="18" customHeight="1" x14ac:dyDescent="0.3">
      <c r="B64" s="13" t="s">
        <v>154</v>
      </c>
      <c r="C64" s="13" t="str">
        <f>IFERROR(INDEX(WBS!$F$5:$F$44,MATCH($B64,WBS!$B$5:$B$44,0)),"")</f>
        <v>T</v>
      </c>
      <c r="D64" s="40" t="s">
        <v>337</v>
      </c>
      <c r="E64" s="40" t="s">
        <v>269</v>
      </c>
      <c r="F64" s="13" t="s">
        <v>242</v>
      </c>
      <c r="G64" s="51">
        <v>2</v>
      </c>
      <c r="H64" s="40" t="s">
        <v>270</v>
      </c>
      <c r="I64" s="53">
        <f>INDEX('Nguồn lực'!$D$5:$D$8,MATCH($F64,'Nguồn lực'!$B$5:$B$8,0))</f>
        <v>1</v>
      </c>
      <c r="J64" s="44">
        <f t="shared" si="1"/>
        <v>2</v>
      </c>
      <c r="K64" s="55">
        <f>INDEX('Hoạt động, lịch'!$L$5:$L$26,MATCH($C64,'Hoạt động, lịch'!$B$5:$B$26,0))+1</f>
        <v>26</v>
      </c>
      <c r="L64" s="55">
        <f>INDEX('Hoạt động, lịch'!$M$5:$M$26,MATCH($C64,'Hoạt động, lịch'!$B$5:$B$26,0))</f>
        <v>26</v>
      </c>
      <c r="M64" s="44">
        <f>IF($J64=0,0,$J64*SUMPRODUCT(('Cost baseline'!$C$4:$AB$4&gt;=$K64)*('Cost baseline'!$C$4:$AB$4&lt;=$L64)*('Cost baseline'!$C$5:$AB$5=M$4))/($L64-$K64+1))</f>
        <v>0</v>
      </c>
      <c r="N64" s="44">
        <f>IF($J64=0,0,$J64*SUMPRODUCT(('Cost baseline'!$C$4:$AB$4&gt;=$K64)*('Cost baseline'!$C$4:$AB$4&lt;=$L64)*('Cost baseline'!$C$5:$AB$5=N$4))/($L64-$K64+1))</f>
        <v>0</v>
      </c>
      <c r="O64" s="44">
        <f>IF($J64=0,0,$J64*SUMPRODUCT(('Cost baseline'!$C$4:$AB$4&gt;=$K64)*('Cost baseline'!$C$4:$AB$4&lt;=$L64)*('Cost baseline'!$C$5:$AB$5=O$4))/($L64-$K64+1))</f>
        <v>0</v>
      </c>
      <c r="P64" s="44">
        <f>IF($J64=0,0,$J64*SUMPRODUCT(('Cost baseline'!$C$4:$AB$4&gt;=$K64)*('Cost baseline'!$C$4:$AB$4&lt;=$L64)*('Cost baseline'!$C$5:$AB$5=P$4))/($L64-$K64+1))</f>
        <v>0</v>
      </c>
      <c r="Q64" s="44">
        <f>IF($J64=0,0,$J64*SUMPRODUCT(('Cost baseline'!$C$4:$AB$4&gt;=$K64)*('Cost baseline'!$C$4:$AB$4&lt;=$L64)*('Cost baseline'!$C$5:$AB$5=Q$4))/($L64-$K64+1))</f>
        <v>0</v>
      </c>
      <c r="R64" s="44">
        <f>IF($J64=0,0,$J64*SUMPRODUCT(('Cost baseline'!$C$4:$AB$4&gt;=$K64)*('Cost baseline'!$C$4:$AB$4&lt;=$L64)*('Cost baseline'!$C$5:$AB$5=R$4))/($L64-$K64+1))</f>
        <v>2</v>
      </c>
    </row>
    <row r="65" spans="2:18" ht="18" customHeight="1" x14ac:dyDescent="0.3">
      <c r="B65" s="13" t="s">
        <v>179</v>
      </c>
      <c r="C65" s="13"/>
      <c r="D65" s="40" t="s">
        <v>338</v>
      </c>
      <c r="E65" s="40" t="s">
        <v>339</v>
      </c>
      <c r="F65" s="13"/>
      <c r="G65" s="51">
        <v>6</v>
      </c>
      <c r="H65" s="40" t="s">
        <v>292</v>
      </c>
      <c r="I65" s="41">
        <v>5</v>
      </c>
      <c r="J65" s="44">
        <f t="shared" si="1"/>
        <v>30</v>
      </c>
      <c r="K65" s="54">
        <v>1</v>
      </c>
      <c r="L65" s="54">
        <v>26</v>
      </c>
      <c r="M65" s="44">
        <f>IF($J65=0,0,$J65*SUMPRODUCT(('Cost baseline'!$C$4:$AB$4&gt;=$K65)*('Cost baseline'!$C$4:$AB$4&lt;=$L65)*('Cost baseline'!$C$5:$AB$5=M$4))/($L65-$K65+1))</f>
        <v>5.7692307692307692</v>
      </c>
      <c r="N65" s="44">
        <f>IF($J65=0,0,$J65*SUMPRODUCT(('Cost baseline'!$C$4:$AB$4&gt;=$K65)*('Cost baseline'!$C$4:$AB$4&lt;=$L65)*('Cost baseline'!$C$5:$AB$5=N$4))/($L65-$K65+1))</f>
        <v>4.615384615384615</v>
      </c>
      <c r="O65" s="44">
        <f>IF($J65=0,0,$J65*SUMPRODUCT(('Cost baseline'!$C$4:$AB$4&gt;=$K65)*('Cost baseline'!$C$4:$AB$4&lt;=$L65)*('Cost baseline'!$C$5:$AB$5=O$4))/($L65-$K65+1))</f>
        <v>4.615384615384615</v>
      </c>
      <c r="P65" s="44">
        <f>IF($J65=0,0,$J65*SUMPRODUCT(('Cost baseline'!$C$4:$AB$4&gt;=$K65)*('Cost baseline'!$C$4:$AB$4&lt;=$L65)*('Cost baseline'!$C$5:$AB$5=P$4))/($L65-$K65+1))</f>
        <v>5.7692307692307692</v>
      </c>
      <c r="Q65" s="44">
        <f>IF($J65=0,0,$J65*SUMPRODUCT(('Cost baseline'!$C$4:$AB$4&gt;=$K65)*('Cost baseline'!$C$4:$AB$4&lt;=$L65)*('Cost baseline'!$C$5:$AB$5=Q$4))/($L65-$K65+1))</f>
        <v>4.615384615384615</v>
      </c>
      <c r="R65" s="44">
        <f>IF($J65=0,0,$J65*SUMPRODUCT(('Cost baseline'!$C$4:$AB$4&gt;=$K65)*('Cost baseline'!$C$4:$AB$4&lt;=$L65)*('Cost baseline'!$C$5:$AB$5=R$4))/($L65-$K65+1))</f>
        <v>4.615384615384615</v>
      </c>
    </row>
    <row r="66" spans="2:18" ht="18" customHeight="1" x14ac:dyDescent="0.3">
      <c r="B66" s="13" t="s">
        <v>179</v>
      </c>
      <c r="C66" s="13"/>
      <c r="D66" s="40" t="s">
        <v>340</v>
      </c>
      <c r="E66" s="40" t="s">
        <v>339</v>
      </c>
      <c r="F66" s="13"/>
      <c r="G66" s="51">
        <v>6</v>
      </c>
      <c r="H66" s="40" t="s">
        <v>292</v>
      </c>
      <c r="I66" s="41">
        <v>2</v>
      </c>
      <c r="J66" s="44">
        <f t="shared" si="1"/>
        <v>12</v>
      </c>
      <c r="K66" s="54">
        <v>1</v>
      </c>
      <c r="L66" s="54">
        <v>26</v>
      </c>
      <c r="M66" s="44">
        <f>IF($J66=0,0,$J66*SUMPRODUCT(('Cost baseline'!$C$4:$AB$4&gt;=$K66)*('Cost baseline'!$C$4:$AB$4&lt;=$L66)*('Cost baseline'!$C$5:$AB$5=M$4))/($L66-$K66+1))</f>
        <v>2.3076923076923075</v>
      </c>
      <c r="N66" s="44">
        <f>IF($J66=0,0,$J66*SUMPRODUCT(('Cost baseline'!$C$4:$AB$4&gt;=$K66)*('Cost baseline'!$C$4:$AB$4&lt;=$L66)*('Cost baseline'!$C$5:$AB$5=N$4))/($L66-$K66+1))</f>
        <v>1.8461538461538463</v>
      </c>
      <c r="O66" s="44">
        <f>IF($J66=0,0,$J66*SUMPRODUCT(('Cost baseline'!$C$4:$AB$4&gt;=$K66)*('Cost baseline'!$C$4:$AB$4&lt;=$L66)*('Cost baseline'!$C$5:$AB$5=O$4))/($L66-$K66+1))</f>
        <v>1.8461538461538463</v>
      </c>
      <c r="P66" s="44">
        <f>IF($J66=0,0,$J66*SUMPRODUCT(('Cost baseline'!$C$4:$AB$4&gt;=$K66)*('Cost baseline'!$C$4:$AB$4&lt;=$L66)*('Cost baseline'!$C$5:$AB$5=P$4))/($L66-$K66+1))</f>
        <v>2.3076923076923075</v>
      </c>
      <c r="Q66" s="44">
        <f>IF($J66=0,0,$J66*SUMPRODUCT(('Cost baseline'!$C$4:$AB$4&gt;=$K66)*('Cost baseline'!$C$4:$AB$4&lt;=$L66)*('Cost baseline'!$C$5:$AB$5=Q$4))/($L66-$K66+1))</f>
        <v>1.8461538461538463</v>
      </c>
      <c r="R66" s="44">
        <f>IF($J66=0,0,$J66*SUMPRODUCT(('Cost baseline'!$C$4:$AB$4&gt;=$K66)*('Cost baseline'!$C$4:$AB$4&lt;=$L66)*('Cost baseline'!$C$5:$AB$5=R$4))/($L66-$K66+1))</f>
        <v>1.8461538461538463</v>
      </c>
    </row>
    <row r="67" spans="2:18" ht="18" customHeight="1" x14ac:dyDescent="0.3">
      <c r="B67" s="13" t="s">
        <v>179</v>
      </c>
      <c r="C67" s="13"/>
      <c r="D67" s="40" t="s">
        <v>341</v>
      </c>
      <c r="E67" s="40" t="s">
        <v>339</v>
      </c>
      <c r="F67" s="13"/>
      <c r="G67" s="51">
        <v>6</v>
      </c>
      <c r="H67" s="40" t="s">
        <v>292</v>
      </c>
      <c r="I67" s="41">
        <v>1.5</v>
      </c>
      <c r="J67" s="44">
        <f t="shared" si="1"/>
        <v>9</v>
      </c>
      <c r="K67" s="54">
        <v>1</v>
      </c>
      <c r="L67" s="54">
        <v>26</v>
      </c>
      <c r="M67" s="44">
        <f>IF($J67=0,0,$J67*SUMPRODUCT(('Cost baseline'!$C$4:$AB$4&gt;=$K67)*('Cost baseline'!$C$4:$AB$4&lt;=$L67)*('Cost baseline'!$C$5:$AB$5=M$4))/($L67-$K67+1))</f>
        <v>1.7307692307692308</v>
      </c>
      <c r="N67" s="44">
        <f>IF($J67=0,0,$J67*SUMPRODUCT(('Cost baseline'!$C$4:$AB$4&gt;=$K67)*('Cost baseline'!$C$4:$AB$4&lt;=$L67)*('Cost baseline'!$C$5:$AB$5=N$4))/($L67-$K67+1))</f>
        <v>1.3846153846153846</v>
      </c>
      <c r="O67" s="44">
        <f>IF($J67=0,0,$J67*SUMPRODUCT(('Cost baseline'!$C$4:$AB$4&gt;=$K67)*('Cost baseline'!$C$4:$AB$4&lt;=$L67)*('Cost baseline'!$C$5:$AB$5=O$4))/($L67-$K67+1))</f>
        <v>1.3846153846153846</v>
      </c>
      <c r="P67" s="44">
        <f>IF($J67=0,0,$J67*SUMPRODUCT(('Cost baseline'!$C$4:$AB$4&gt;=$K67)*('Cost baseline'!$C$4:$AB$4&lt;=$L67)*('Cost baseline'!$C$5:$AB$5=P$4))/($L67-$K67+1))</f>
        <v>1.7307692307692308</v>
      </c>
      <c r="Q67" s="44">
        <f>IF($J67=0,0,$J67*SUMPRODUCT(('Cost baseline'!$C$4:$AB$4&gt;=$K67)*('Cost baseline'!$C$4:$AB$4&lt;=$L67)*('Cost baseline'!$C$5:$AB$5=Q$4))/($L67-$K67+1))</f>
        <v>1.3846153846153846</v>
      </c>
      <c r="R67" s="44">
        <f>IF($J67=0,0,$J67*SUMPRODUCT(('Cost baseline'!$C$4:$AB$4&gt;=$K67)*('Cost baseline'!$C$4:$AB$4&lt;=$L67)*('Cost baseline'!$C$5:$AB$5=R$4))/($L67-$K67+1))</f>
        <v>1.3846153846153846</v>
      </c>
    </row>
    <row r="68" spans="2:18" ht="18" customHeight="1" x14ac:dyDescent="0.3">
      <c r="B68" s="13" t="s">
        <v>179</v>
      </c>
      <c r="C68" s="13"/>
      <c r="D68" s="40" t="s">
        <v>342</v>
      </c>
      <c r="E68" s="40" t="s">
        <v>339</v>
      </c>
      <c r="F68" s="13"/>
      <c r="G68" s="51">
        <v>1</v>
      </c>
      <c r="H68" s="40" t="s">
        <v>290</v>
      </c>
      <c r="I68" s="41">
        <v>9</v>
      </c>
      <c r="J68" s="44">
        <f t="shared" si="1"/>
        <v>9</v>
      </c>
      <c r="K68" s="54">
        <v>1</v>
      </c>
      <c r="L68" s="54">
        <v>4</v>
      </c>
      <c r="M68" s="44">
        <f>IF($J68=0,0,$J68*SUMPRODUCT(('Cost baseline'!$C$4:$AB$4&gt;=$K68)*('Cost baseline'!$C$4:$AB$4&lt;=$L68)*('Cost baseline'!$C$5:$AB$5=M$4))/($L68-$K68+1))</f>
        <v>9</v>
      </c>
      <c r="N68" s="44">
        <f>IF($J68=0,0,$J68*SUMPRODUCT(('Cost baseline'!$C$4:$AB$4&gt;=$K68)*('Cost baseline'!$C$4:$AB$4&lt;=$L68)*('Cost baseline'!$C$5:$AB$5=N$4))/($L68-$K68+1))</f>
        <v>0</v>
      </c>
      <c r="O68" s="44">
        <f>IF($J68=0,0,$J68*SUMPRODUCT(('Cost baseline'!$C$4:$AB$4&gt;=$K68)*('Cost baseline'!$C$4:$AB$4&lt;=$L68)*('Cost baseline'!$C$5:$AB$5=O$4))/($L68-$K68+1))</f>
        <v>0</v>
      </c>
      <c r="P68" s="44">
        <f>IF($J68=0,0,$J68*SUMPRODUCT(('Cost baseline'!$C$4:$AB$4&gt;=$K68)*('Cost baseline'!$C$4:$AB$4&lt;=$L68)*('Cost baseline'!$C$5:$AB$5=P$4))/($L68-$K68+1))</f>
        <v>0</v>
      </c>
      <c r="Q68" s="44">
        <f>IF($J68=0,0,$J68*SUMPRODUCT(('Cost baseline'!$C$4:$AB$4&gt;=$K68)*('Cost baseline'!$C$4:$AB$4&lt;=$L68)*('Cost baseline'!$C$5:$AB$5=Q$4))/($L68-$K68+1))</f>
        <v>0</v>
      </c>
      <c r="R68" s="44">
        <f>IF($J68=0,0,$J68*SUMPRODUCT(('Cost baseline'!$C$4:$AB$4&gt;=$K68)*('Cost baseline'!$C$4:$AB$4&lt;=$L68)*('Cost baseline'!$C$5:$AB$5=R$4))/($L68-$K68+1))</f>
        <v>0</v>
      </c>
    </row>
    <row r="70" spans="2:18" x14ac:dyDescent="0.3">
      <c r="D70" s="45" t="s">
        <v>269</v>
      </c>
      <c r="J70" s="48">
        <f>SUMIF($E$5:$E$68,$D70,$J$5:$J$68)</f>
        <v>640</v>
      </c>
      <c r="M70" s="44">
        <f t="shared" ref="M70:R74" si="2">SUMIF($E$5:$E$68,$D70,M$5:M$68)</f>
        <v>91.647435897435898</v>
      </c>
      <c r="N70" s="44">
        <f t="shared" si="2"/>
        <v>141.71794871794873</v>
      </c>
      <c r="O70" s="44">
        <f t="shared" si="2"/>
        <v>193.61794871794874</v>
      </c>
      <c r="P70" s="44">
        <f t="shared" si="2"/>
        <v>130.58076923076925</v>
      </c>
      <c r="Q70" s="44">
        <f t="shared" si="2"/>
        <v>35.051282051282051</v>
      </c>
      <c r="R70" s="44">
        <f t="shared" si="2"/>
        <v>47.384615384615387</v>
      </c>
    </row>
    <row r="71" spans="2:18" x14ac:dyDescent="0.3">
      <c r="D71" s="45" t="s">
        <v>304</v>
      </c>
      <c r="J71" s="48">
        <f>SUMIF($E$5:$E$68,$D71,$J$5:$J$68)</f>
        <v>480</v>
      </c>
      <c r="M71" s="44">
        <f t="shared" si="2"/>
        <v>0</v>
      </c>
      <c r="N71" s="44">
        <f t="shared" si="2"/>
        <v>28</v>
      </c>
      <c r="O71" s="44">
        <f t="shared" si="2"/>
        <v>157.6</v>
      </c>
      <c r="P71" s="44">
        <f t="shared" si="2"/>
        <v>294.39999999999998</v>
      </c>
      <c r="Q71" s="44">
        <f t="shared" si="2"/>
        <v>0</v>
      </c>
      <c r="R71" s="44">
        <f t="shared" si="2"/>
        <v>0</v>
      </c>
    </row>
    <row r="72" spans="2:18" x14ac:dyDescent="0.3">
      <c r="D72" s="45" t="s">
        <v>289</v>
      </c>
      <c r="J72" s="48">
        <f>SUMIF($E$5:$E$68,$D72,$J$5:$J$68)</f>
        <v>140</v>
      </c>
      <c r="M72" s="44">
        <f t="shared" si="2"/>
        <v>0</v>
      </c>
      <c r="N72" s="44">
        <f t="shared" si="2"/>
        <v>19.55</v>
      </c>
      <c r="O72" s="44">
        <f t="shared" si="2"/>
        <v>75.2</v>
      </c>
      <c r="P72" s="44">
        <f t="shared" si="2"/>
        <v>14.05</v>
      </c>
      <c r="Q72" s="44">
        <f t="shared" si="2"/>
        <v>15.6</v>
      </c>
      <c r="R72" s="44">
        <f t="shared" si="2"/>
        <v>15.6</v>
      </c>
    </row>
    <row r="73" spans="2:18" x14ac:dyDescent="0.3">
      <c r="D73" s="45" t="s">
        <v>319</v>
      </c>
      <c r="J73" s="48">
        <f>SUMIF($E$5:$E$68,$D73,$J$5:$J$68)</f>
        <v>40</v>
      </c>
      <c r="M73" s="44">
        <f t="shared" si="2"/>
        <v>0</v>
      </c>
      <c r="N73" s="44">
        <f t="shared" si="2"/>
        <v>0</v>
      </c>
      <c r="O73" s="44">
        <f t="shared" si="2"/>
        <v>12</v>
      </c>
      <c r="P73" s="44">
        <f t="shared" si="2"/>
        <v>20.666666666666671</v>
      </c>
      <c r="Q73" s="44">
        <f t="shared" si="2"/>
        <v>7.3333333333333339</v>
      </c>
      <c r="R73" s="44">
        <f t="shared" si="2"/>
        <v>0</v>
      </c>
    </row>
    <row r="74" spans="2:18" x14ac:dyDescent="0.3">
      <c r="D74" s="45" t="s">
        <v>339</v>
      </c>
      <c r="J74" s="48">
        <f>SUMIF($E$5:$E$68,$D74,$J$5:$J$68)</f>
        <v>60</v>
      </c>
      <c r="M74" s="44">
        <f t="shared" si="2"/>
        <v>18.807692307692307</v>
      </c>
      <c r="N74" s="44">
        <f t="shared" si="2"/>
        <v>7.8461538461538467</v>
      </c>
      <c r="O74" s="44">
        <f t="shared" si="2"/>
        <v>7.8461538461538467</v>
      </c>
      <c r="P74" s="44">
        <f t="shared" si="2"/>
        <v>9.8076923076923066</v>
      </c>
      <c r="Q74" s="44">
        <f t="shared" si="2"/>
        <v>7.8461538461538467</v>
      </c>
      <c r="R74" s="44">
        <f t="shared" si="2"/>
        <v>7.8461538461538467</v>
      </c>
    </row>
    <row r="75" spans="2:18" x14ac:dyDescent="0.3">
      <c r="D75" s="45" t="s">
        <v>343</v>
      </c>
      <c r="J75" s="48">
        <f>SUM(J70:J73)</f>
        <v>1300</v>
      </c>
    </row>
    <row r="76" spans="2:18" x14ac:dyDescent="0.3">
      <c r="D76" s="45" t="s">
        <v>344</v>
      </c>
      <c r="J76" s="48">
        <f>J74</f>
        <v>60</v>
      </c>
    </row>
    <row r="77" spans="2:18" x14ac:dyDescent="0.3">
      <c r="D77" s="45" t="s">
        <v>345</v>
      </c>
      <c r="J77" s="56">
        <f>J75+J76</f>
        <v>1360</v>
      </c>
      <c r="M77" s="57">
        <f t="shared" ref="M77:R77" si="3">SUM(M70:M74)</f>
        <v>110.4551282051282</v>
      </c>
      <c r="N77" s="57">
        <f t="shared" si="3"/>
        <v>197.11410256410258</v>
      </c>
      <c r="O77" s="57">
        <f t="shared" si="3"/>
        <v>446.26410256410259</v>
      </c>
      <c r="P77" s="57">
        <f t="shared" si="3"/>
        <v>469.50512820512824</v>
      </c>
      <c r="Q77" s="57">
        <f t="shared" si="3"/>
        <v>65.830769230769235</v>
      </c>
      <c r="R77" s="57">
        <f t="shared" si="3"/>
        <v>70.830769230769235</v>
      </c>
    </row>
    <row r="78" spans="2:18" x14ac:dyDescent="0.3">
      <c r="D78" s="45" t="s">
        <v>346</v>
      </c>
      <c r="J78" s="48">
        <f>SUM(J84:J89)</f>
        <v>140</v>
      </c>
    </row>
    <row r="79" spans="2:18" x14ac:dyDescent="0.3">
      <c r="D79" s="45" t="s">
        <v>347</v>
      </c>
      <c r="J79" s="56">
        <f>J77+J78</f>
        <v>1500</v>
      </c>
    </row>
    <row r="80" spans="2:18" x14ac:dyDescent="0.3">
      <c r="D80" s="45" t="s">
        <v>348</v>
      </c>
      <c r="J80" s="39" t="str">
        <f>IF(ABS(J79-1500)&lt;0.001,"Khớp","Lệch "&amp;TEXT(J79-1500,"0.0"))</f>
        <v>Khớp</v>
      </c>
    </row>
    <row r="83" spans="2:10" x14ac:dyDescent="0.3">
      <c r="D83" s="50" t="s">
        <v>349</v>
      </c>
    </row>
    <row r="84" spans="2:10" x14ac:dyDescent="0.3">
      <c r="D84" s="102" t="s">
        <v>350</v>
      </c>
      <c r="E84" s="93"/>
      <c r="F84" s="93"/>
      <c r="G84" s="93"/>
      <c r="H84" s="93"/>
      <c r="I84" s="94"/>
      <c r="J84" s="58">
        <v>40</v>
      </c>
    </row>
    <row r="85" spans="2:10" x14ac:dyDescent="0.3">
      <c r="D85" s="102" t="s">
        <v>351</v>
      </c>
      <c r="E85" s="93"/>
      <c r="F85" s="93"/>
      <c r="G85" s="93"/>
      <c r="H85" s="93"/>
      <c r="I85" s="94"/>
      <c r="J85" s="58">
        <v>30</v>
      </c>
    </row>
    <row r="86" spans="2:10" x14ac:dyDescent="0.3">
      <c r="D86" s="102" t="s">
        <v>352</v>
      </c>
      <c r="E86" s="93"/>
      <c r="F86" s="93"/>
      <c r="G86" s="93"/>
      <c r="H86" s="93"/>
      <c r="I86" s="94"/>
      <c r="J86" s="58">
        <v>24</v>
      </c>
    </row>
    <row r="87" spans="2:10" x14ac:dyDescent="0.3">
      <c r="D87" s="102" t="s">
        <v>353</v>
      </c>
      <c r="E87" s="93"/>
      <c r="F87" s="93"/>
      <c r="G87" s="93"/>
      <c r="H87" s="93"/>
      <c r="I87" s="94"/>
      <c r="J87" s="58">
        <v>20</v>
      </c>
    </row>
    <row r="88" spans="2:10" x14ac:dyDescent="0.3">
      <c r="D88" s="102" t="s">
        <v>354</v>
      </c>
      <c r="E88" s="93"/>
      <c r="F88" s="93"/>
      <c r="G88" s="93"/>
      <c r="H88" s="93"/>
      <c r="I88" s="94"/>
      <c r="J88" s="58">
        <v>20</v>
      </c>
    </row>
    <row r="89" spans="2:10" x14ac:dyDescent="0.3">
      <c r="D89" s="102" t="s">
        <v>355</v>
      </c>
      <c r="E89" s="93"/>
      <c r="F89" s="93"/>
      <c r="G89" s="93"/>
      <c r="H89" s="93"/>
      <c r="I89" s="94"/>
      <c r="J89" s="58">
        <v>6</v>
      </c>
    </row>
    <row r="92" spans="2:10" x14ac:dyDescent="0.3">
      <c r="B92" s="50" t="s">
        <v>356</v>
      </c>
    </row>
    <row r="93" spans="2:10" ht="30" customHeight="1" x14ac:dyDescent="0.3">
      <c r="B93" s="2" t="s">
        <v>162</v>
      </c>
      <c r="C93" s="2" t="s">
        <v>6</v>
      </c>
      <c r="D93" s="2" t="s">
        <v>357</v>
      </c>
      <c r="E93" s="2" t="s">
        <v>225</v>
      </c>
      <c r="F93" s="2" t="s">
        <v>358</v>
      </c>
      <c r="G93" s="2" t="s">
        <v>249</v>
      </c>
      <c r="H93" s="2" t="s">
        <v>359</v>
      </c>
      <c r="I93" s="2" t="s">
        <v>360</v>
      </c>
      <c r="J93" s="2" t="s">
        <v>361</v>
      </c>
    </row>
    <row r="94" spans="2:10" x14ac:dyDescent="0.3">
      <c r="B94" s="13" t="s">
        <v>21</v>
      </c>
      <c r="C94" s="13" t="str">
        <f>IFERROR(INDEX(WBS!$F$5:$F$44,MATCH($B94,WBS!$B$5:$B$44,0)),"")</f>
        <v>–</v>
      </c>
      <c r="D94" s="40" t="str">
        <f>INDEX(WBS!$C$5:$C$44,MATCH($B94,WBS!$B$5:$B$44,0))</f>
        <v>Charter, kick-off</v>
      </c>
      <c r="E94" s="42">
        <f t="shared" ref="E94:E118" si="4">SUMIFS($G$5:$G$68,$B$5:$B$68,$B94,$E$5:$E$68,"Nhân sự")</f>
        <v>6</v>
      </c>
      <c r="F94" s="44">
        <f t="shared" ref="F94:F118" si="5">SUMIFS($J$5:$J$68,$B$5:$B$68,$B94,$E$5:$E$68,"Nhân sự")</f>
        <v>7</v>
      </c>
      <c r="G94" s="44">
        <f t="shared" ref="G94:G118" si="6">SUMIFS($J$5:$J$68,$B$5:$B$68,$B94,$E$5:$E$68,"Thiết bị")</f>
        <v>0</v>
      </c>
      <c r="H94" s="44">
        <f t="shared" ref="H94:H118" si="7">SUMIFS($J$5:$J$68,$B$5:$B$68,$B94,$E$5:$E$68,"Phần mềm, dịch vụ")</f>
        <v>0</v>
      </c>
      <c r="I94" s="44">
        <f t="shared" ref="I94:I118" si="8">SUMIFS($J$5:$J$68,$B$5:$B$68,$B94,$E$5:$E$68,"Đào tạo")</f>
        <v>0</v>
      </c>
      <c r="J94" s="57">
        <f t="shared" ref="J94:J118" si="9">SUM(F94:I94)</f>
        <v>7</v>
      </c>
    </row>
    <row r="95" spans="2:10" x14ac:dyDescent="0.3">
      <c r="B95" s="13" t="s">
        <v>25</v>
      </c>
      <c r="C95" s="13" t="str">
        <f>IFERROR(INDEX(WBS!$F$5:$F$44,MATCH($B95,WBS!$B$5:$B$44,0)),"")</f>
        <v>–</v>
      </c>
      <c r="D95" s="40" t="str">
        <f>INDEX(WBS!$C$5:$C$44,MATCH($B95,WBS!$B$5:$B$44,0))</f>
        <v>Kế hoạch dự án</v>
      </c>
      <c r="E95" s="42">
        <f t="shared" si="4"/>
        <v>18</v>
      </c>
      <c r="F95" s="44">
        <f t="shared" si="5"/>
        <v>22</v>
      </c>
      <c r="G95" s="44">
        <f t="shared" si="6"/>
        <v>0</v>
      </c>
      <c r="H95" s="44">
        <f t="shared" si="7"/>
        <v>0</v>
      </c>
      <c r="I95" s="44">
        <f t="shared" si="8"/>
        <v>0</v>
      </c>
      <c r="J95" s="57">
        <f t="shared" si="9"/>
        <v>22</v>
      </c>
    </row>
    <row r="96" spans="2:10" x14ac:dyDescent="0.3">
      <c r="B96" s="13" t="s">
        <v>28</v>
      </c>
      <c r="C96" s="13" t="str">
        <f>IFERROR(INDEX(WBS!$F$5:$F$44,MATCH($B96,WBS!$B$5:$B$44,0)),"")</f>
        <v>–</v>
      </c>
      <c r="D96" s="40" t="str">
        <f>INDEX(WBS!$C$5:$C$44,MATCH($B96,WBS!$B$5:$B$44,0))</f>
        <v>Hợp đồng đối tác</v>
      </c>
      <c r="E96" s="42">
        <f t="shared" si="4"/>
        <v>9</v>
      </c>
      <c r="F96" s="44">
        <f t="shared" si="5"/>
        <v>10.5</v>
      </c>
      <c r="G96" s="44">
        <f t="shared" si="6"/>
        <v>0</v>
      </c>
      <c r="H96" s="44">
        <f t="shared" si="7"/>
        <v>0</v>
      </c>
      <c r="I96" s="44">
        <f t="shared" si="8"/>
        <v>0</v>
      </c>
      <c r="J96" s="57">
        <f t="shared" si="9"/>
        <v>10.5</v>
      </c>
    </row>
    <row r="97" spans="2:10" x14ac:dyDescent="0.3">
      <c r="B97" s="13" t="s">
        <v>35</v>
      </c>
      <c r="C97" s="13" t="str">
        <f>IFERROR(INDEX(WBS!$F$5:$F$44,MATCH($B97,WBS!$B$5:$B$44,0)),"")</f>
        <v>–</v>
      </c>
      <c r="D97" s="40" t="str">
        <f>INDEX(WBS!$C$5:$C$44,MATCH($B97,WBS!$B$5:$B$44,0))</f>
        <v>Báo cáo, EVM</v>
      </c>
      <c r="E97" s="42">
        <f t="shared" si="4"/>
        <v>26</v>
      </c>
      <c r="F97" s="44">
        <f t="shared" si="5"/>
        <v>32.5</v>
      </c>
      <c r="G97" s="44">
        <f t="shared" si="6"/>
        <v>0</v>
      </c>
      <c r="H97" s="44">
        <f t="shared" si="7"/>
        <v>0</v>
      </c>
      <c r="I97" s="44">
        <f t="shared" si="8"/>
        <v>0</v>
      </c>
      <c r="J97" s="57">
        <f t="shared" si="9"/>
        <v>32.5</v>
      </c>
    </row>
    <row r="98" spans="2:10" x14ac:dyDescent="0.3">
      <c r="B98" s="13" t="s">
        <v>39</v>
      </c>
      <c r="C98" s="13" t="str">
        <f>IFERROR(INDEX(WBS!$F$5:$F$44,MATCH($B98,WBS!$B$5:$B$44,0)),"")</f>
        <v>–</v>
      </c>
      <c r="D98" s="40" t="str">
        <f>INDEX(WBS!$C$5:$C$44,MATCH($B98,WBS!$B$5:$B$44,0))</f>
        <v>Thay đổi, rủi ro</v>
      </c>
      <c r="E98" s="42">
        <f t="shared" si="4"/>
        <v>19</v>
      </c>
      <c r="F98" s="44">
        <f t="shared" si="5"/>
        <v>22</v>
      </c>
      <c r="G98" s="44">
        <f t="shared" si="6"/>
        <v>0</v>
      </c>
      <c r="H98" s="44">
        <f t="shared" si="7"/>
        <v>0</v>
      </c>
      <c r="I98" s="44">
        <f t="shared" si="8"/>
        <v>0</v>
      </c>
      <c r="J98" s="57">
        <f t="shared" si="9"/>
        <v>22</v>
      </c>
    </row>
    <row r="99" spans="2:10" x14ac:dyDescent="0.3">
      <c r="B99" s="13" t="s">
        <v>47</v>
      </c>
      <c r="C99" s="13" t="str">
        <f>IFERROR(INDEX(WBS!$F$5:$F$44,MATCH($B99,WBS!$B$5:$B$44,0)),"")</f>
        <v>A</v>
      </c>
      <c r="D99" s="40" t="str">
        <f>INDEX(WBS!$C$5:$C$44,MATCH($B99,WBS!$B$5:$B$44,0))</f>
        <v>Khảo sát hiện trạng</v>
      </c>
      <c r="E99" s="42">
        <f t="shared" si="4"/>
        <v>20</v>
      </c>
      <c r="F99" s="44">
        <f t="shared" si="5"/>
        <v>25</v>
      </c>
      <c r="G99" s="44">
        <f t="shared" si="6"/>
        <v>0</v>
      </c>
      <c r="H99" s="44">
        <f t="shared" si="7"/>
        <v>0</v>
      </c>
      <c r="I99" s="44">
        <f t="shared" si="8"/>
        <v>0</v>
      </c>
      <c r="J99" s="57">
        <f t="shared" si="9"/>
        <v>25</v>
      </c>
    </row>
    <row r="100" spans="2:10" x14ac:dyDescent="0.3">
      <c r="B100" s="13" t="s">
        <v>51</v>
      </c>
      <c r="C100" s="13" t="str">
        <f>IFERROR(INDEX(WBS!$F$5:$F$44,MATCH($B100,WBS!$B$5:$B$44,0)),"")</f>
        <v>B</v>
      </c>
      <c r="D100" s="40" t="str">
        <f>INDEX(WBS!$C$5:$C$44,MATCH($B100,WBS!$B$5:$B$44,0))</f>
        <v>Đặc tả yêu cầu (SRS)</v>
      </c>
      <c r="E100" s="42">
        <f t="shared" si="4"/>
        <v>23</v>
      </c>
      <c r="F100" s="44">
        <f t="shared" si="5"/>
        <v>30.5</v>
      </c>
      <c r="G100" s="44">
        <f t="shared" si="6"/>
        <v>0</v>
      </c>
      <c r="H100" s="44">
        <f t="shared" si="7"/>
        <v>0</v>
      </c>
      <c r="I100" s="44">
        <f t="shared" si="8"/>
        <v>0</v>
      </c>
      <c r="J100" s="57">
        <f t="shared" si="9"/>
        <v>30.5</v>
      </c>
    </row>
    <row r="101" spans="2:10" x14ac:dyDescent="0.3">
      <c r="B101" s="13" t="s">
        <v>59</v>
      </c>
      <c r="C101" s="13" t="str">
        <f>IFERROR(INDEX(WBS!$F$5:$F$44,MATCH($B101,WBS!$B$5:$B$44,0)),"")</f>
        <v>C</v>
      </c>
      <c r="D101" s="40" t="str">
        <f>INDEX(WBS!$C$5:$C$44,MATCH($B101,WBS!$B$5:$B$44,0))</f>
        <v>Quy trình, cấu hình</v>
      </c>
      <c r="E101" s="42">
        <f t="shared" si="4"/>
        <v>25</v>
      </c>
      <c r="F101" s="44">
        <f t="shared" si="5"/>
        <v>47.5</v>
      </c>
      <c r="G101" s="44">
        <f t="shared" si="6"/>
        <v>0</v>
      </c>
      <c r="H101" s="44">
        <f t="shared" si="7"/>
        <v>0</v>
      </c>
      <c r="I101" s="44">
        <f t="shared" si="8"/>
        <v>0</v>
      </c>
      <c r="J101" s="57">
        <f t="shared" si="9"/>
        <v>47.5</v>
      </c>
    </row>
    <row r="102" spans="2:10" x14ac:dyDescent="0.3">
      <c r="B102" s="13" t="s">
        <v>63</v>
      </c>
      <c r="C102" s="13" t="str">
        <f>IFERROR(INDEX(WBS!$F$5:$F$44,MATCH($B102,WBS!$B$5:$B$44,0)),"")</f>
        <v>D</v>
      </c>
      <c r="D102" s="40" t="str">
        <f>INDEX(WBS!$C$5:$C$44,MATCH($B102,WBS!$B$5:$B$44,0))</f>
        <v>Kiến trúc tích hợp</v>
      </c>
      <c r="E102" s="42">
        <f t="shared" si="4"/>
        <v>15</v>
      </c>
      <c r="F102" s="44">
        <f t="shared" si="5"/>
        <v>27.5</v>
      </c>
      <c r="G102" s="44">
        <f t="shared" si="6"/>
        <v>0</v>
      </c>
      <c r="H102" s="44">
        <f t="shared" si="7"/>
        <v>0</v>
      </c>
      <c r="I102" s="44">
        <f t="shared" si="8"/>
        <v>0</v>
      </c>
      <c r="J102" s="57">
        <f t="shared" si="9"/>
        <v>27.5</v>
      </c>
    </row>
    <row r="103" spans="2:10" x14ac:dyDescent="0.3">
      <c r="B103" s="13" t="s">
        <v>70</v>
      </c>
      <c r="C103" s="13" t="str">
        <f>IFERROR(INDEX(WBS!$F$5:$F$44,MATCH($B103,WBS!$B$5:$B$44,0)),"")</f>
        <v>E</v>
      </c>
      <c r="D103" s="40" t="str">
        <f>INDEX(WBS!$C$5:$C$44,MATCH($B103,WBS!$B$5:$B$44,0))</f>
        <v>RMS lõi</v>
      </c>
      <c r="E103" s="42">
        <f t="shared" si="4"/>
        <v>60</v>
      </c>
      <c r="F103" s="44">
        <f t="shared" si="5"/>
        <v>120</v>
      </c>
      <c r="G103" s="44">
        <f t="shared" si="6"/>
        <v>0</v>
      </c>
      <c r="H103" s="44">
        <f t="shared" si="7"/>
        <v>36</v>
      </c>
      <c r="I103" s="44">
        <f t="shared" si="8"/>
        <v>0</v>
      </c>
      <c r="J103" s="57">
        <f t="shared" si="9"/>
        <v>156</v>
      </c>
    </row>
    <row r="104" spans="2:10" x14ac:dyDescent="0.3">
      <c r="B104" s="13" t="s">
        <v>77</v>
      </c>
      <c r="C104" s="13" t="str">
        <f>IFERROR(INDEX(WBS!$F$5:$F$44,MATCH($B104,WBS!$B$5:$B$44,0)),"")</f>
        <v>F</v>
      </c>
      <c r="D104" s="40" t="str">
        <f>INDEX(WBS!$C$5:$C$44,MATCH($B104,WBS!$B$5:$B$44,0))</f>
        <v>Tích hợp ngoài (P9)</v>
      </c>
      <c r="E104" s="42">
        <f t="shared" si="4"/>
        <v>25</v>
      </c>
      <c r="F104" s="44">
        <f t="shared" si="5"/>
        <v>50</v>
      </c>
      <c r="G104" s="44">
        <f t="shared" si="6"/>
        <v>0</v>
      </c>
      <c r="H104" s="44">
        <f t="shared" si="7"/>
        <v>54</v>
      </c>
      <c r="I104" s="44">
        <f t="shared" si="8"/>
        <v>0</v>
      </c>
      <c r="J104" s="57">
        <f t="shared" si="9"/>
        <v>104</v>
      </c>
    </row>
    <row r="105" spans="2:10" x14ac:dyDescent="0.3">
      <c r="B105" s="13" t="s">
        <v>81</v>
      </c>
      <c r="C105" s="13" t="str">
        <f>IFERROR(INDEX(WBS!$F$5:$F$44,MATCH($B105,WBS!$B$5:$B$44,0)),"")</f>
        <v>G</v>
      </c>
      <c r="D105" s="40" t="str">
        <f>INDEX(WBS!$C$5:$C$44,MATCH($B105,WBS!$B$5:$B$44,0))</f>
        <v>Kênh online (P6)</v>
      </c>
      <c r="E105" s="42">
        <f t="shared" si="4"/>
        <v>20</v>
      </c>
      <c r="F105" s="44">
        <f t="shared" si="5"/>
        <v>40</v>
      </c>
      <c r="G105" s="44">
        <f t="shared" si="6"/>
        <v>0</v>
      </c>
      <c r="H105" s="44">
        <f t="shared" si="7"/>
        <v>12</v>
      </c>
      <c r="I105" s="44">
        <f t="shared" si="8"/>
        <v>0</v>
      </c>
      <c r="J105" s="57">
        <f t="shared" si="9"/>
        <v>52</v>
      </c>
    </row>
    <row r="106" spans="2:10" x14ac:dyDescent="0.3">
      <c r="B106" s="13" t="s">
        <v>88</v>
      </c>
      <c r="C106" s="13" t="str">
        <f>IFERROR(INDEX(WBS!$F$5:$F$44,MATCH($B106,WBS!$B$5:$B$44,0)),"")</f>
        <v>H</v>
      </c>
      <c r="D106" s="40" t="str">
        <f>INDEX(WBS!$C$5:$C$44,MATCH($B106,WBS!$B$5:$B$44,0))</f>
        <v>Thiết bị đợt 1 (pilot)</v>
      </c>
      <c r="E106" s="42">
        <f t="shared" si="4"/>
        <v>6</v>
      </c>
      <c r="F106" s="44">
        <f t="shared" si="5"/>
        <v>6</v>
      </c>
      <c r="G106" s="44">
        <f t="shared" si="6"/>
        <v>112</v>
      </c>
      <c r="H106" s="44">
        <f t="shared" si="7"/>
        <v>0</v>
      </c>
      <c r="I106" s="44">
        <f t="shared" si="8"/>
        <v>0</v>
      </c>
      <c r="J106" s="57">
        <f t="shared" si="9"/>
        <v>118</v>
      </c>
    </row>
    <row r="107" spans="2:10" x14ac:dyDescent="0.3">
      <c r="B107" s="13" t="s">
        <v>92</v>
      </c>
      <c r="C107" s="13" t="str">
        <f>IFERROR(INDEX(WBS!$F$5:$F$44,MATCH($B107,WBS!$B$5:$B$44,0)),"")</f>
        <v>I</v>
      </c>
      <c r="D107" s="40" t="str">
        <f>INDEX(WBS!$C$5:$C$44,MATCH($B107,WBS!$B$5:$B$44,0))</f>
        <v>Thiết bị đợt 2</v>
      </c>
      <c r="E107" s="42">
        <f t="shared" si="4"/>
        <v>12</v>
      </c>
      <c r="F107" s="44">
        <f t="shared" si="5"/>
        <v>12</v>
      </c>
      <c r="G107" s="44">
        <f t="shared" si="6"/>
        <v>368</v>
      </c>
      <c r="H107" s="44">
        <f t="shared" si="7"/>
        <v>0</v>
      </c>
      <c r="I107" s="44">
        <f t="shared" si="8"/>
        <v>0</v>
      </c>
      <c r="J107" s="57">
        <f t="shared" si="9"/>
        <v>380</v>
      </c>
    </row>
    <row r="108" spans="2:10" x14ac:dyDescent="0.3">
      <c r="B108" s="13" t="s">
        <v>99</v>
      </c>
      <c r="C108" s="13" t="str">
        <f>IFERROR(INDEX(WBS!$F$5:$F$44,MATCH($B108,WBS!$B$5:$B$44,0)),"")</f>
        <v>J</v>
      </c>
      <c r="D108" s="40" t="str">
        <f>INDEX(WBS!$C$5:$C$44,MATCH($B108,WBS!$B$5:$B$44,0))</f>
        <v>Thực đơn, công thức</v>
      </c>
      <c r="E108" s="42">
        <f t="shared" si="4"/>
        <v>12</v>
      </c>
      <c r="F108" s="44">
        <f t="shared" si="5"/>
        <v>12</v>
      </c>
      <c r="G108" s="44">
        <f t="shared" si="6"/>
        <v>0</v>
      </c>
      <c r="H108" s="44">
        <f t="shared" si="7"/>
        <v>0</v>
      </c>
      <c r="I108" s="44">
        <f t="shared" si="8"/>
        <v>0</v>
      </c>
      <c r="J108" s="57">
        <f t="shared" si="9"/>
        <v>12</v>
      </c>
    </row>
    <row r="109" spans="2:10" x14ac:dyDescent="0.3">
      <c r="B109" s="13" t="s">
        <v>103</v>
      </c>
      <c r="C109" s="13" t="str">
        <f>IFERROR(INDEX(WBS!$F$5:$F$44,MATCH($B109,WBS!$B$5:$B$44,0)),"")</f>
        <v>K</v>
      </c>
      <c r="D109" s="40" t="str">
        <f>INDEX(WBS!$C$5:$C$44,MATCH($B109,WBS!$B$5:$B$44,0))</f>
        <v>Khách hàng, tồn kho</v>
      </c>
      <c r="E109" s="42">
        <f t="shared" si="4"/>
        <v>8</v>
      </c>
      <c r="F109" s="44">
        <f t="shared" si="5"/>
        <v>8</v>
      </c>
      <c r="G109" s="44">
        <f t="shared" si="6"/>
        <v>0</v>
      </c>
      <c r="H109" s="44">
        <f t="shared" si="7"/>
        <v>0</v>
      </c>
      <c r="I109" s="44">
        <f t="shared" si="8"/>
        <v>0</v>
      </c>
      <c r="J109" s="57">
        <f t="shared" si="9"/>
        <v>8</v>
      </c>
    </row>
    <row r="110" spans="2:10" x14ac:dyDescent="0.3">
      <c r="B110" s="13" t="s">
        <v>110</v>
      </c>
      <c r="C110" s="13" t="str">
        <f>IFERROR(INDEX(WBS!$F$5:$F$44,MATCH($B110,WBS!$B$5:$B$44,0)),"")</f>
        <v>L</v>
      </c>
      <c r="D110" s="40" t="str">
        <f>INDEX(WBS!$C$5:$C$44,MATCH($B110,WBS!$B$5:$B$44,0))</f>
        <v>SIT, kiểm thử tải</v>
      </c>
      <c r="E110" s="42">
        <f t="shared" si="4"/>
        <v>13</v>
      </c>
      <c r="F110" s="44">
        <f t="shared" si="5"/>
        <v>23</v>
      </c>
      <c r="G110" s="44">
        <f t="shared" si="6"/>
        <v>0</v>
      </c>
      <c r="H110" s="44">
        <f t="shared" si="7"/>
        <v>5</v>
      </c>
      <c r="I110" s="44">
        <f t="shared" si="8"/>
        <v>0</v>
      </c>
      <c r="J110" s="57">
        <f t="shared" si="9"/>
        <v>28</v>
      </c>
    </row>
    <row r="111" spans="2:10" x14ac:dyDescent="0.3">
      <c r="B111" s="13" t="s">
        <v>114</v>
      </c>
      <c r="C111" s="13" t="str">
        <f>IFERROR(INDEX(WBS!$F$5:$F$44,MATCH($B111,WBS!$B$5:$B$44,0)),"")</f>
        <v>M</v>
      </c>
      <c r="D111" s="40" t="str">
        <f>INDEX(WBS!$C$5:$C$44,MATCH($B111,WBS!$B$5:$B$44,0))</f>
        <v>UAT</v>
      </c>
      <c r="E111" s="42">
        <f t="shared" si="4"/>
        <v>15</v>
      </c>
      <c r="F111" s="44">
        <f t="shared" si="5"/>
        <v>22.5</v>
      </c>
      <c r="G111" s="44">
        <f t="shared" si="6"/>
        <v>0</v>
      </c>
      <c r="H111" s="44">
        <f t="shared" si="7"/>
        <v>0</v>
      </c>
      <c r="I111" s="44">
        <f t="shared" si="8"/>
        <v>0</v>
      </c>
      <c r="J111" s="57">
        <f t="shared" si="9"/>
        <v>22.5</v>
      </c>
    </row>
    <row r="112" spans="2:10" x14ac:dyDescent="0.3">
      <c r="B112" s="13" t="s">
        <v>121</v>
      </c>
      <c r="C112" s="13" t="str">
        <f>IFERROR(INDEX(WBS!$F$5:$F$44,MATCH($B112,WBS!$B$5:$B$44,0)),"")</f>
        <v>N</v>
      </c>
      <c r="D112" s="40" t="str">
        <f>INDEX(WBS!$C$5:$C$44,MATCH($B112,WBS!$B$5:$B$44,0))</f>
        <v>Tài liệu, trainer</v>
      </c>
      <c r="E112" s="42">
        <f t="shared" si="4"/>
        <v>15</v>
      </c>
      <c r="F112" s="44">
        <f t="shared" si="5"/>
        <v>25</v>
      </c>
      <c r="G112" s="44">
        <f t="shared" si="6"/>
        <v>0</v>
      </c>
      <c r="H112" s="44">
        <f t="shared" si="7"/>
        <v>0</v>
      </c>
      <c r="I112" s="44">
        <f t="shared" si="8"/>
        <v>18</v>
      </c>
      <c r="J112" s="57">
        <f t="shared" si="9"/>
        <v>43</v>
      </c>
    </row>
    <row r="113" spans="2:10" x14ac:dyDescent="0.3">
      <c r="B113" s="13" t="s">
        <v>125</v>
      </c>
      <c r="C113" s="13" t="str">
        <f>IFERROR(INDEX(WBS!$F$5:$F$44,MATCH($B113,WBS!$B$5:$B$44,0)),"")</f>
        <v>O</v>
      </c>
      <c r="D113" s="40" t="str">
        <f>INDEX(WBS!$C$5:$C$44,MATCH($B113,WBS!$B$5:$B$44,0))</f>
        <v>Đào tạo theo đợt</v>
      </c>
      <c r="E113" s="42">
        <f t="shared" si="4"/>
        <v>20</v>
      </c>
      <c r="F113" s="44">
        <f t="shared" si="5"/>
        <v>20</v>
      </c>
      <c r="G113" s="44">
        <f t="shared" si="6"/>
        <v>0</v>
      </c>
      <c r="H113" s="44">
        <f t="shared" si="7"/>
        <v>0</v>
      </c>
      <c r="I113" s="44">
        <f t="shared" si="8"/>
        <v>22</v>
      </c>
      <c r="J113" s="57">
        <f t="shared" si="9"/>
        <v>42</v>
      </c>
    </row>
    <row r="114" spans="2:10" x14ac:dyDescent="0.3">
      <c r="B114" s="13" t="s">
        <v>135</v>
      </c>
      <c r="C114" s="13" t="str">
        <f>IFERROR(INDEX(WBS!$F$5:$F$44,MATCH($B114,WBS!$B$5:$B$44,0)),"")</f>
        <v>P</v>
      </c>
      <c r="D114" s="40" t="str">
        <f>INDEX(WBS!$C$5:$C$44,MATCH($B114,WBS!$B$5:$B$44,0))</f>
        <v>Pilot Cầu Giấy</v>
      </c>
      <c r="E114" s="42">
        <f t="shared" si="4"/>
        <v>13</v>
      </c>
      <c r="F114" s="44">
        <f t="shared" si="5"/>
        <v>18</v>
      </c>
      <c r="G114" s="44">
        <f t="shared" si="6"/>
        <v>0</v>
      </c>
      <c r="H114" s="44">
        <f t="shared" si="7"/>
        <v>9</v>
      </c>
      <c r="I114" s="44">
        <f t="shared" si="8"/>
        <v>0</v>
      </c>
      <c r="J114" s="57">
        <f t="shared" si="9"/>
        <v>27</v>
      </c>
    </row>
    <row r="115" spans="2:10" x14ac:dyDescent="0.3">
      <c r="B115" s="13" t="s">
        <v>139</v>
      </c>
      <c r="C115" s="13" t="str">
        <f>IFERROR(INDEX(WBS!$F$5:$F$44,MATCH($B115,WBS!$B$5:$B$44,0)),"")</f>
        <v>Q</v>
      </c>
      <c r="D115" s="40" t="str">
        <f>INDEX(WBS!$C$5:$C$44,MATCH($B115,WBS!$B$5:$B$44,0))</f>
        <v>Rollout 4 nhà hàng</v>
      </c>
      <c r="E115" s="42">
        <f t="shared" si="4"/>
        <v>16</v>
      </c>
      <c r="F115" s="44">
        <f t="shared" si="5"/>
        <v>20</v>
      </c>
      <c r="G115" s="44">
        <f t="shared" si="6"/>
        <v>0</v>
      </c>
      <c r="H115" s="44">
        <f t="shared" si="7"/>
        <v>24</v>
      </c>
      <c r="I115" s="44">
        <f t="shared" si="8"/>
        <v>0</v>
      </c>
      <c r="J115" s="57">
        <f t="shared" si="9"/>
        <v>44</v>
      </c>
    </row>
    <row r="116" spans="2:10" x14ac:dyDescent="0.3">
      <c r="B116" s="13" t="s">
        <v>143</v>
      </c>
      <c r="C116" s="13" t="str">
        <f>IFERROR(INDEX(WBS!$F$5:$F$44,MATCH($B116,WBS!$B$5:$B$44,0)),"")</f>
        <v>R</v>
      </c>
      <c r="D116" s="40" t="str">
        <f>INDEX(WBS!$C$5:$C$44,MATCH($B116,WBS!$B$5:$B$44,0))</f>
        <v>Hỗ trợ sau go-live</v>
      </c>
      <c r="E116" s="42">
        <f t="shared" si="4"/>
        <v>10</v>
      </c>
      <c r="F116" s="44">
        <f t="shared" si="5"/>
        <v>20</v>
      </c>
      <c r="G116" s="44">
        <f t="shared" si="6"/>
        <v>0</v>
      </c>
      <c r="H116" s="44">
        <f t="shared" si="7"/>
        <v>0</v>
      </c>
      <c r="I116" s="44">
        <f t="shared" si="8"/>
        <v>0</v>
      </c>
      <c r="J116" s="57">
        <f t="shared" si="9"/>
        <v>20</v>
      </c>
    </row>
    <row r="117" spans="2:10" x14ac:dyDescent="0.3">
      <c r="B117" s="13" t="s">
        <v>150</v>
      </c>
      <c r="C117" s="13" t="str">
        <f>IFERROR(INDEX(WBS!$F$5:$F$44,MATCH($B117,WBS!$B$5:$B$44,0)),"")</f>
        <v>S</v>
      </c>
      <c r="D117" s="40" t="str">
        <f>INDEX(WBS!$C$5:$C$44,MATCH($B117,WBS!$B$5:$B$44,0))</f>
        <v>Nghiệm thu, bàn giao</v>
      </c>
      <c r="E117" s="42">
        <f t="shared" si="4"/>
        <v>9</v>
      </c>
      <c r="F117" s="44">
        <f t="shared" si="5"/>
        <v>12.5</v>
      </c>
      <c r="G117" s="44">
        <f t="shared" si="6"/>
        <v>0</v>
      </c>
      <c r="H117" s="44">
        <f t="shared" si="7"/>
        <v>0</v>
      </c>
      <c r="I117" s="44">
        <f t="shared" si="8"/>
        <v>0</v>
      </c>
      <c r="J117" s="57">
        <f t="shared" si="9"/>
        <v>12.5</v>
      </c>
    </row>
    <row r="118" spans="2:10" x14ac:dyDescent="0.3">
      <c r="B118" s="13" t="s">
        <v>154</v>
      </c>
      <c r="C118" s="13" t="str">
        <f>IFERROR(INDEX(WBS!$F$5:$F$44,MATCH($B118,WBS!$B$5:$B$44,0)),"")</f>
        <v>T</v>
      </c>
      <c r="D118" s="40" t="str">
        <f>INDEX(WBS!$C$5:$C$44,MATCH($B118,WBS!$B$5:$B$44,0))</f>
        <v>Tổng kết, thanh lý</v>
      </c>
      <c r="E118" s="42">
        <f t="shared" si="4"/>
        <v>5</v>
      </c>
      <c r="F118" s="44">
        <f t="shared" si="5"/>
        <v>6.5</v>
      </c>
      <c r="G118" s="44">
        <f t="shared" si="6"/>
        <v>0</v>
      </c>
      <c r="H118" s="44">
        <f t="shared" si="7"/>
        <v>0</v>
      </c>
      <c r="I118" s="44">
        <f t="shared" si="8"/>
        <v>0</v>
      </c>
      <c r="J118" s="57">
        <f t="shared" si="9"/>
        <v>6.5</v>
      </c>
    </row>
    <row r="119" spans="2:10" x14ac:dyDescent="0.3">
      <c r="D119" s="45" t="s">
        <v>362</v>
      </c>
      <c r="E119" s="46">
        <f t="shared" ref="E119:J119" si="10">SUM(E94:E118)</f>
        <v>420</v>
      </c>
      <c r="F119" s="48">
        <f t="shared" si="10"/>
        <v>640</v>
      </c>
      <c r="G119" s="48">
        <f t="shared" si="10"/>
        <v>480</v>
      </c>
      <c r="H119" s="48">
        <f t="shared" si="10"/>
        <v>140</v>
      </c>
      <c r="I119" s="48">
        <f t="shared" si="10"/>
        <v>40</v>
      </c>
      <c r="J119" s="48">
        <f t="shared" si="10"/>
        <v>1300</v>
      </c>
    </row>
  </sheetData>
  <mergeCells count="18">
    <mergeCell ref="M3:R3"/>
    <mergeCell ref="D88:I88"/>
    <mergeCell ref="D89:I89"/>
    <mergeCell ref="D86:I86"/>
    <mergeCell ref="B3:B4"/>
    <mergeCell ref="G3:G4"/>
    <mergeCell ref="E3:E4"/>
    <mergeCell ref="L3:L4"/>
    <mergeCell ref="H3:H4"/>
    <mergeCell ref="F3:F4"/>
    <mergeCell ref="D3:D4"/>
    <mergeCell ref="I3:I4"/>
    <mergeCell ref="J3:J4"/>
    <mergeCell ref="D87:I87"/>
    <mergeCell ref="K3:K4"/>
    <mergeCell ref="D84:I84"/>
    <mergeCell ref="D85:I85"/>
    <mergeCell ref="C3:C4"/>
  </mergeCells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  <pageSetUpPr fitToPage="1"/>
  </sheetPr>
  <dimension ref="A1:AB21"/>
  <sheetViews>
    <sheetView showGridLines="0" workbookViewId="0"/>
  </sheetViews>
  <sheetFormatPr defaultRowHeight="14.4" x14ac:dyDescent="0.3"/>
  <cols>
    <col min="1" max="1" width="2.6640625" style="3" customWidth="1"/>
    <col min="2" max="2" width="30" style="3" customWidth="1"/>
    <col min="3" max="28" width="5.21875" style="3" customWidth="1"/>
  </cols>
  <sheetData>
    <row r="1" spans="2:28" ht="42" customHeight="1" x14ac:dyDescent="0.3">
      <c r="B1" s="4" t="s">
        <v>363</v>
      </c>
    </row>
    <row r="2" spans="2:28" ht="21" customHeight="1" x14ac:dyDescent="0.3">
      <c r="B2" s="5" t="s">
        <v>364</v>
      </c>
    </row>
    <row r="4" spans="2:28" x14ac:dyDescent="0.3">
      <c r="B4" s="59" t="s">
        <v>365</v>
      </c>
      <c r="C4" s="60">
        <v>1</v>
      </c>
      <c r="D4" s="60">
        <v>2</v>
      </c>
      <c r="E4" s="60">
        <v>3</v>
      </c>
      <c r="F4" s="60">
        <v>4</v>
      </c>
      <c r="G4" s="60">
        <v>5</v>
      </c>
      <c r="H4" s="60">
        <v>6</v>
      </c>
      <c r="I4" s="60">
        <v>7</v>
      </c>
      <c r="J4" s="60">
        <v>8</v>
      </c>
      <c r="K4" s="60">
        <v>9</v>
      </c>
      <c r="L4" s="60">
        <v>10</v>
      </c>
      <c r="M4" s="60">
        <v>11</v>
      </c>
      <c r="N4" s="60">
        <v>12</v>
      </c>
      <c r="O4" s="60">
        <v>13</v>
      </c>
      <c r="P4" s="60">
        <v>14</v>
      </c>
      <c r="Q4" s="60">
        <v>15</v>
      </c>
      <c r="R4" s="60">
        <v>16</v>
      </c>
      <c r="S4" s="60">
        <v>17</v>
      </c>
      <c r="T4" s="60">
        <v>18</v>
      </c>
      <c r="U4" s="60">
        <v>19</v>
      </c>
      <c r="V4" s="60">
        <v>20</v>
      </c>
      <c r="W4" s="60">
        <v>21</v>
      </c>
      <c r="X4" s="60">
        <v>22</v>
      </c>
      <c r="Y4" s="60">
        <v>23</v>
      </c>
      <c r="Z4" s="60">
        <v>24</v>
      </c>
      <c r="AA4" s="60">
        <v>25</v>
      </c>
      <c r="AB4" s="60">
        <v>26</v>
      </c>
    </row>
    <row r="5" spans="2:28" x14ac:dyDescent="0.3">
      <c r="B5" s="59" t="s">
        <v>366</v>
      </c>
      <c r="C5" s="55">
        <f>MONTH('Hoạt động, lịch'!$D$28+(C4-1)*7+2)</f>
        <v>3</v>
      </c>
      <c r="D5" s="55">
        <f>MONTH('Hoạt động, lịch'!$D$28+(D4-1)*7+2)</f>
        <v>3</v>
      </c>
      <c r="E5" s="55">
        <f>MONTH('Hoạt động, lịch'!$D$28+(E4-1)*7+2)</f>
        <v>3</v>
      </c>
      <c r="F5" s="55">
        <f>MONTH('Hoạt động, lịch'!$D$28+(F4-1)*7+2)</f>
        <v>3</v>
      </c>
      <c r="G5" s="55">
        <f>MONTH('Hoạt động, lịch'!$D$28+(G4-1)*7+2)</f>
        <v>3</v>
      </c>
      <c r="H5" s="55">
        <f>MONTH('Hoạt động, lịch'!$D$28+(H4-1)*7+2)</f>
        <v>4</v>
      </c>
      <c r="I5" s="55">
        <f>MONTH('Hoạt động, lịch'!$D$28+(I4-1)*7+2)</f>
        <v>4</v>
      </c>
      <c r="J5" s="55">
        <f>MONTH('Hoạt động, lịch'!$D$28+(J4-1)*7+2)</f>
        <v>4</v>
      </c>
      <c r="K5" s="55">
        <f>MONTH('Hoạt động, lịch'!$D$28+(K4-1)*7+2)</f>
        <v>4</v>
      </c>
      <c r="L5" s="55">
        <f>MONTH('Hoạt động, lịch'!$D$28+(L4-1)*7+2)</f>
        <v>5</v>
      </c>
      <c r="M5" s="55">
        <f>MONTH('Hoạt động, lịch'!$D$28+(M4-1)*7+2)</f>
        <v>5</v>
      </c>
      <c r="N5" s="55">
        <f>MONTH('Hoạt động, lịch'!$D$28+(N4-1)*7+2)</f>
        <v>5</v>
      </c>
      <c r="O5" s="55">
        <f>MONTH('Hoạt động, lịch'!$D$28+(O4-1)*7+2)</f>
        <v>5</v>
      </c>
      <c r="P5" s="55">
        <f>MONTH('Hoạt động, lịch'!$D$28+(P4-1)*7+2)</f>
        <v>6</v>
      </c>
      <c r="Q5" s="55">
        <f>MONTH('Hoạt động, lịch'!$D$28+(Q4-1)*7+2)</f>
        <v>6</v>
      </c>
      <c r="R5" s="55">
        <f>MONTH('Hoạt động, lịch'!$D$28+(R4-1)*7+2)</f>
        <v>6</v>
      </c>
      <c r="S5" s="55">
        <f>MONTH('Hoạt động, lịch'!$D$28+(S4-1)*7+2)</f>
        <v>6</v>
      </c>
      <c r="T5" s="55">
        <f>MONTH('Hoạt động, lịch'!$D$28+(T4-1)*7+2)</f>
        <v>6</v>
      </c>
      <c r="U5" s="55">
        <f>MONTH('Hoạt động, lịch'!$D$28+(U4-1)*7+2)</f>
        <v>7</v>
      </c>
      <c r="V5" s="55">
        <f>MONTH('Hoạt động, lịch'!$D$28+(V4-1)*7+2)</f>
        <v>7</v>
      </c>
      <c r="W5" s="55">
        <f>MONTH('Hoạt động, lịch'!$D$28+(W4-1)*7+2)</f>
        <v>7</v>
      </c>
      <c r="X5" s="55">
        <f>MONTH('Hoạt động, lịch'!$D$28+(X4-1)*7+2)</f>
        <v>7</v>
      </c>
      <c r="Y5" s="55">
        <f>MONTH('Hoạt động, lịch'!$D$28+(Y4-1)*7+2)</f>
        <v>8</v>
      </c>
      <c r="Z5" s="55">
        <f>MONTH('Hoạt động, lịch'!$D$28+(Z4-1)*7+2)</f>
        <v>8</v>
      </c>
      <c r="AA5" s="55">
        <f>MONTH('Hoạt động, lịch'!$D$28+(AA4-1)*7+2)</f>
        <v>8</v>
      </c>
      <c r="AB5" s="55">
        <f>MONTH('Hoạt động, lịch'!$D$28+(AB4-1)*7+2)</f>
        <v>8</v>
      </c>
    </row>
    <row r="6" spans="2:28" ht="36" customHeight="1" x14ac:dyDescent="0.3">
      <c r="B6" s="59" t="s">
        <v>367</v>
      </c>
      <c r="C6" s="61">
        <f>'Hoạt động, lịch'!$D$28+(C4-1)*7</f>
        <v>46447</v>
      </c>
      <c r="D6" s="61">
        <f>'Hoạt động, lịch'!$D$28+(D4-1)*7</f>
        <v>46454</v>
      </c>
      <c r="E6" s="61">
        <f>'Hoạt động, lịch'!$D$28+(E4-1)*7</f>
        <v>46461</v>
      </c>
      <c r="F6" s="61">
        <f>'Hoạt động, lịch'!$D$28+(F4-1)*7</f>
        <v>46468</v>
      </c>
      <c r="G6" s="61">
        <f>'Hoạt động, lịch'!$D$28+(G4-1)*7</f>
        <v>46475</v>
      </c>
      <c r="H6" s="61">
        <f>'Hoạt động, lịch'!$D$28+(H4-1)*7</f>
        <v>46482</v>
      </c>
      <c r="I6" s="61">
        <f>'Hoạt động, lịch'!$D$28+(I4-1)*7</f>
        <v>46489</v>
      </c>
      <c r="J6" s="61">
        <f>'Hoạt động, lịch'!$D$28+(J4-1)*7</f>
        <v>46496</v>
      </c>
      <c r="K6" s="61">
        <f>'Hoạt động, lịch'!$D$28+(K4-1)*7</f>
        <v>46503</v>
      </c>
      <c r="L6" s="61">
        <f>'Hoạt động, lịch'!$D$28+(L4-1)*7</f>
        <v>46510</v>
      </c>
      <c r="M6" s="61">
        <f>'Hoạt động, lịch'!$D$28+(M4-1)*7</f>
        <v>46517</v>
      </c>
      <c r="N6" s="61">
        <f>'Hoạt động, lịch'!$D$28+(N4-1)*7</f>
        <v>46524</v>
      </c>
      <c r="O6" s="61">
        <f>'Hoạt động, lịch'!$D$28+(O4-1)*7</f>
        <v>46531</v>
      </c>
      <c r="P6" s="61">
        <f>'Hoạt động, lịch'!$D$28+(P4-1)*7</f>
        <v>46538</v>
      </c>
      <c r="Q6" s="61">
        <f>'Hoạt động, lịch'!$D$28+(Q4-1)*7</f>
        <v>46545</v>
      </c>
      <c r="R6" s="61">
        <f>'Hoạt động, lịch'!$D$28+(R4-1)*7</f>
        <v>46552</v>
      </c>
      <c r="S6" s="61">
        <f>'Hoạt động, lịch'!$D$28+(S4-1)*7</f>
        <v>46559</v>
      </c>
      <c r="T6" s="61">
        <f>'Hoạt động, lịch'!$D$28+(T4-1)*7</f>
        <v>46566</v>
      </c>
      <c r="U6" s="61">
        <f>'Hoạt động, lịch'!$D$28+(U4-1)*7</f>
        <v>46573</v>
      </c>
      <c r="V6" s="61">
        <f>'Hoạt động, lịch'!$D$28+(V4-1)*7</f>
        <v>46580</v>
      </c>
      <c r="W6" s="61">
        <f>'Hoạt động, lịch'!$D$28+(W4-1)*7</f>
        <v>46587</v>
      </c>
      <c r="X6" s="61">
        <f>'Hoạt động, lịch'!$D$28+(X4-1)*7</f>
        <v>46594</v>
      </c>
      <c r="Y6" s="61">
        <f>'Hoạt động, lịch'!$D$28+(Y4-1)*7</f>
        <v>46601</v>
      </c>
      <c r="Z6" s="61">
        <f>'Hoạt động, lịch'!$D$28+(Z4-1)*7</f>
        <v>46608</v>
      </c>
      <c r="AA6" s="61">
        <f>'Hoạt động, lịch'!$D$28+(AA4-1)*7</f>
        <v>46615</v>
      </c>
      <c r="AB6" s="61">
        <f>'Hoạt động, lịch'!$D$28+(AB4-1)*7</f>
        <v>46622</v>
      </c>
    </row>
    <row r="8" spans="2:28" ht="24" customHeight="1" x14ac:dyDescent="0.3">
      <c r="B8" s="2" t="s">
        <v>368</v>
      </c>
      <c r="C8" s="90" t="s">
        <v>369</v>
      </c>
      <c r="D8" s="91"/>
      <c r="E8" s="90" t="s">
        <v>370</v>
      </c>
      <c r="F8" s="91"/>
      <c r="G8" s="90" t="s">
        <v>371</v>
      </c>
      <c r="H8" s="91"/>
      <c r="I8" s="90" t="s">
        <v>372</v>
      </c>
      <c r="J8" s="91"/>
      <c r="K8" s="90" t="s">
        <v>373</v>
      </c>
      <c r="L8" s="91"/>
      <c r="M8" s="90" t="s">
        <v>374</v>
      </c>
      <c r="N8" s="91"/>
      <c r="O8" s="90" t="s">
        <v>361</v>
      </c>
      <c r="P8" s="91"/>
    </row>
    <row r="9" spans="2:28" x14ac:dyDescent="0.3">
      <c r="B9" s="40" t="s">
        <v>269</v>
      </c>
      <c r="C9" s="104">
        <f>'Chi phí'!M70</f>
        <v>91.647435897435898</v>
      </c>
      <c r="D9" s="94"/>
      <c r="E9" s="104">
        <f>'Chi phí'!N70</f>
        <v>141.71794871794873</v>
      </c>
      <c r="F9" s="94"/>
      <c r="G9" s="104">
        <f>'Chi phí'!O70</f>
        <v>193.61794871794874</v>
      </c>
      <c r="H9" s="94"/>
      <c r="I9" s="104">
        <f>'Chi phí'!P70</f>
        <v>130.58076923076925</v>
      </c>
      <c r="J9" s="94"/>
      <c r="K9" s="104">
        <f>'Chi phí'!Q70</f>
        <v>35.051282051282051</v>
      </c>
      <c r="L9" s="94"/>
      <c r="M9" s="104">
        <f>'Chi phí'!R70</f>
        <v>47.384615384615387</v>
      </c>
      <c r="N9" s="94"/>
      <c r="O9" s="106">
        <f t="shared" ref="O9:O14" si="0">SUM(C9,E9,G9,I9,K9,M9)</f>
        <v>640</v>
      </c>
      <c r="P9" s="94"/>
    </row>
    <row r="10" spans="2:28" x14ac:dyDescent="0.3">
      <c r="B10" s="40" t="s">
        <v>304</v>
      </c>
      <c r="C10" s="104">
        <f>'Chi phí'!M71</f>
        <v>0</v>
      </c>
      <c r="D10" s="94"/>
      <c r="E10" s="104">
        <f>'Chi phí'!N71</f>
        <v>28</v>
      </c>
      <c r="F10" s="94"/>
      <c r="G10" s="104">
        <f>'Chi phí'!O71</f>
        <v>157.6</v>
      </c>
      <c r="H10" s="94"/>
      <c r="I10" s="104">
        <f>'Chi phí'!P71</f>
        <v>294.39999999999998</v>
      </c>
      <c r="J10" s="94"/>
      <c r="K10" s="104">
        <f>'Chi phí'!Q71</f>
        <v>0</v>
      </c>
      <c r="L10" s="94"/>
      <c r="M10" s="104">
        <f>'Chi phí'!R71</f>
        <v>0</v>
      </c>
      <c r="N10" s="94"/>
      <c r="O10" s="106">
        <f t="shared" si="0"/>
        <v>480</v>
      </c>
      <c r="P10" s="94"/>
    </row>
    <row r="11" spans="2:28" x14ac:dyDescent="0.3">
      <c r="B11" s="40" t="s">
        <v>289</v>
      </c>
      <c r="C11" s="104">
        <f>'Chi phí'!M72</f>
        <v>0</v>
      </c>
      <c r="D11" s="94"/>
      <c r="E11" s="104">
        <f>'Chi phí'!N72</f>
        <v>19.55</v>
      </c>
      <c r="F11" s="94"/>
      <c r="G11" s="104">
        <f>'Chi phí'!O72</f>
        <v>75.2</v>
      </c>
      <c r="H11" s="94"/>
      <c r="I11" s="104">
        <f>'Chi phí'!P72</f>
        <v>14.05</v>
      </c>
      <c r="J11" s="94"/>
      <c r="K11" s="104">
        <f>'Chi phí'!Q72</f>
        <v>15.6</v>
      </c>
      <c r="L11" s="94"/>
      <c r="M11" s="104">
        <f>'Chi phí'!R72</f>
        <v>15.6</v>
      </c>
      <c r="N11" s="94"/>
      <c r="O11" s="106">
        <f t="shared" si="0"/>
        <v>140</v>
      </c>
      <c r="P11" s="94"/>
    </row>
    <row r="12" spans="2:28" x14ac:dyDescent="0.3">
      <c r="B12" s="40" t="s">
        <v>319</v>
      </c>
      <c r="C12" s="104">
        <f>'Chi phí'!M73</f>
        <v>0</v>
      </c>
      <c r="D12" s="94"/>
      <c r="E12" s="104">
        <f>'Chi phí'!N73</f>
        <v>0</v>
      </c>
      <c r="F12" s="94"/>
      <c r="G12" s="104">
        <f>'Chi phí'!O73</f>
        <v>12</v>
      </c>
      <c r="H12" s="94"/>
      <c r="I12" s="104">
        <f>'Chi phí'!P73</f>
        <v>20.666666666666671</v>
      </c>
      <c r="J12" s="94"/>
      <c r="K12" s="104">
        <f>'Chi phí'!Q73</f>
        <v>7.3333333333333339</v>
      </c>
      <c r="L12" s="94"/>
      <c r="M12" s="104">
        <f>'Chi phí'!R73</f>
        <v>0</v>
      </c>
      <c r="N12" s="94"/>
      <c r="O12" s="106">
        <f t="shared" si="0"/>
        <v>40.000000000000007</v>
      </c>
      <c r="P12" s="94"/>
    </row>
    <row r="13" spans="2:28" x14ac:dyDescent="0.3">
      <c r="B13" s="40" t="s">
        <v>339</v>
      </c>
      <c r="C13" s="104">
        <f>'Chi phí'!M74</f>
        <v>18.807692307692307</v>
      </c>
      <c r="D13" s="94"/>
      <c r="E13" s="104">
        <f>'Chi phí'!N74</f>
        <v>7.8461538461538467</v>
      </c>
      <c r="F13" s="94"/>
      <c r="G13" s="104">
        <f>'Chi phí'!O74</f>
        <v>7.8461538461538467</v>
      </c>
      <c r="H13" s="94"/>
      <c r="I13" s="104">
        <f>'Chi phí'!P74</f>
        <v>9.8076923076923066</v>
      </c>
      <c r="J13" s="94"/>
      <c r="K13" s="104">
        <f>'Chi phí'!Q74</f>
        <v>7.8461538461538467</v>
      </c>
      <c r="L13" s="94"/>
      <c r="M13" s="104">
        <f>'Chi phí'!R74</f>
        <v>7.8461538461538467</v>
      </c>
      <c r="N13" s="94"/>
      <c r="O13" s="106">
        <f t="shared" si="0"/>
        <v>60</v>
      </c>
      <c r="P13" s="94"/>
    </row>
    <row r="14" spans="2:28" x14ac:dyDescent="0.3">
      <c r="B14" s="62" t="s">
        <v>375</v>
      </c>
      <c r="C14" s="107">
        <f>SUM(C9:C13)</f>
        <v>110.4551282051282</v>
      </c>
      <c r="D14" s="94"/>
      <c r="E14" s="107">
        <f>SUM(E9:E13)</f>
        <v>197.11410256410258</v>
      </c>
      <c r="F14" s="94"/>
      <c r="G14" s="107">
        <f>SUM(G9:G13)</f>
        <v>446.26410256410259</v>
      </c>
      <c r="H14" s="94"/>
      <c r="I14" s="107">
        <f>SUM(I9:I13)</f>
        <v>469.50512820512824</v>
      </c>
      <c r="J14" s="94"/>
      <c r="K14" s="107">
        <f>SUM(K9:K13)</f>
        <v>65.830769230769235</v>
      </c>
      <c r="L14" s="94"/>
      <c r="M14" s="107">
        <f>SUM(M9:M13)</f>
        <v>70.830769230769235</v>
      </c>
      <c r="N14" s="94"/>
      <c r="O14" s="107">
        <f t="shared" si="0"/>
        <v>1360</v>
      </c>
      <c r="P14" s="94"/>
    </row>
    <row r="15" spans="2:28" x14ac:dyDescent="0.3">
      <c r="B15" s="62" t="s">
        <v>376</v>
      </c>
      <c r="C15" s="105">
        <f>C14</f>
        <v>110.4551282051282</v>
      </c>
      <c r="D15" s="94"/>
      <c r="E15" s="105">
        <f>C15+E14</f>
        <v>307.56923076923078</v>
      </c>
      <c r="F15" s="94"/>
      <c r="G15" s="105">
        <f>E15+G14</f>
        <v>753.83333333333337</v>
      </c>
      <c r="H15" s="94"/>
      <c r="I15" s="105">
        <f>G15+I14</f>
        <v>1223.3384615384616</v>
      </c>
      <c r="J15" s="94"/>
      <c r="K15" s="105">
        <f>I15+K14</f>
        <v>1289.1692307692308</v>
      </c>
      <c r="L15" s="94"/>
      <c r="M15" s="105">
        <f>K15+M14</f>
        <v>1360</v>
      </c>
      <c r="N15" s="94"/>
      <c r="O15" s="108" t="str">
        <f>IF(ABS(O14-'Chi phí'!J77)&lt;0.001,"= BAC","LỆCH")</f>
        <v>= BAC</v>
      </c>
      <c r="P15" s="94"/>
    </row>
    <row r="16" spans="2:28" x14ac:dyDescent="0.3">
      <c r="B16" s="62" t="s">
        <v>377</v>
      </c>
      <c r="C16" s="103">
        <f>C15/O14</f>
        <v>8.1217006033182507E-2</v>
      </c>
      <c r="D16" s="94"/>
      <c r="E16" s="103">
        <f>E15/O14</f>
        <v>0.22615384615384618</v>
      </c>
      <c r="F16" s="94"/>
      <c r="G16" s="103">
        <f>G15/O14</f>
        <v>0.55428921568627454</v>
      </c>
      <c r="H16" s="94"/>
      <c r="I16" s="103">
        <f>I15/O14</f>
        <v>0.89951357466063353</v>
      </c>
      <c r="J16" s="94"/>
      <c r="K16" s="103">
        <f>K15/O14</f>
        <v>0.94791855203619912</v>
      </c>
      <c r="L16" s="94"/>
      <c r="M16" s="103">
        <f>M15/O14</f>
        <v>1</v>
      </c>
      <c r="N16" s="94"/>
    </row>
    <row r="18" spans="2:8" x14ac:dyDescent="0.3">
      <c r="B18" s="64" t="s">
        <v>378</v>
      </c>
    </row>
    <row r="19" spans="2:8" x14ac:dyDescent="0.3">
      <c r="B19" s="40" t="s">
        <v>379</v>
      </c>
      <c r="C19" s="40" t="s">
        <v>380</v>
      </c>
      <c r="D19" s="40" t="s">
        <v>381</v>
      </c>
      <c r="E19" s="40" t="s">
        <v>382</v>
      </c>
      <c r="F19" s="40" t="s">
        <v>383</v>
      </c>
      <c r="G19" s="40" t="s">
        <v>384</v>
      </c>
      <c r="H19" s="40" t="s">
        <v>385</v>
      </c>
    </row>
    <row r="20" spans="2:8" x14ac:dyDescent="0.3">
      <c r="B20" s="40" t="s">
        <v>386</v>
      </c>
      <c r="C20" s="42">
        <f>C14</f>
        <v>110.4551282051282</v>
      </c>
      <c r="D20" s="42">
        <f>E14</f>
        <v>197.11410256410258</v>
      </c>
      <c r="E20" s="42">
        <f>G14</f>
        <v>446.26410256410259</v>
      </c>
      <c r="F20" s="42">
        <f>I14</f>
        <v>469.50512820512824</v>
      </c>
      <c r="G20" s="42">
        <f>K14</f>
        <v>65.830769230769235</v>
      </c>
      <c r="H20" s="42">
        <f>M14</f>
        <v>70.830769230769235</v>
      </c>
    </row>
    <row r="21" spans="2:8" x14ac:dyDescent="0.3">
      <c r="B21" s="40" t="s">
        <v>387</v>
      </c>
      <c r="C21" s="42">
        <f>C15</f>
        <v>110.4551282051282</v>
      </c>
      <c r="D21" s="42">
        <f>E15</f>
        <v>307.56923076923078</v>
      </c>
      <c r="E21" s="42">
        <f>G15</f>
        <v>753.83333333333337</v>
      </c>
      <c r="F21" s="42">
        <f>I15</f>
        <v>1223.3384615384616</v>
      </c>
      <c r="G21" s="42">
        <f>K15</f>
        <v>1289.1692307692308</v>
      </c>
      <c r="H21" s="42">
        <f>M15</f>
        <v>1360</v>
      </c>
    </row>
  </sheetData>
  <mergeCells count="62">
    <mergeCell ref="O8:P8"/>
    <mergeCell ref="O11:P11"/>
    <mergeCell ref="E16:F16"/>
    <mergeCell ref="G16:H16"/>
    <mergeCell ref="I10:J10"/>
    <mergeCell ref="K10:L10"/>
    <mergeCell ref="M14:N14"/>
    <mergeCell ref="O14:P14"/>
    <mergeCell ref="I13:J13"/>
    <mergeCell ref="G9:H9"/>
    <mergeCell ref="I9:J9"/>
    <mergeCell ref="O13:P13"/>
    <mergeCell ref="M16:N16"/>
    <mergeCell ref="C12:D12"/>
    <mergeCell ref="I12:J12"/>
    <mergeCell ref="M15:N15"/>
    <mergeCell ref="K12:L12"/>
    <mergeCell ref="M12:N12"/>
    <mergeCell ref="E15:F15"/>
    <mergeCell ref="G15:H15"/>
    <mergeCell ref="G14:H14"/>
    <mergeCell ref="I14:J14"/>
    <mergeCell ref="K14:L14"/>
    <mergeCell ref="C13:D13"/>
    <mergeCell ref="G8:H8"/>
    <mergeCell ref="E8:F8"/>
    <mergeCell ref="K11:L11"/>
    <mergeCell ref="C10:D10"/>
    <mergeCell ref="M11:N11"/>
    <mergeCell ref="E10:F10"/>
    <mergeCell ref="G10:H10"/>
    <mergeCell ref="M10:N10"/>
    <mergeCell ref="C9:D9"/>
    <mergeCell ref="E9:F9"/>
    <mergeCell ref="K8:L8"/>
    <mergeCell ref="C11:D11"/>
    <mergeCell ref="E11:F11"/>
    <mergeCell ref="I8:J8"/>
    <mergeCell ref="M8:N8"/>
    <mergeCell ref="C8:D8"/>
    <mergeCell ref="O10:P10"/>
    <mergeCell ref="G11:H11"/>
    <mergeCell ref="K15:L15"/>
    <mergeCell ref="K9:L9"/>
    <mergeCell ref="I11:J11"/>
    <mergeCell ref="M9:N9"/>
    <mergeCell ref="O15:P15"/>
    <mergeCell ref="O9:P9"/>
    <mergeCell ref="K13:L13"/>
    <mergeCell ref="G13:H13"/>
    <mergeCell ref="M13:N13"/>
    <mergeCell ref="O12:P12"/>
    <mergeCell ref="K16:L16"/>
    <mergeCell ref="E12:F12"/>
    <mergeCell ref="G12:H12"/>
    <mergeCell ref="C15:D15"/>
    <mergeCell ref="I15:J15"/>
    <mergeCell ref="C14:D14"/>
    <mergeCell ref="E14:F14"/>
    <mergeCell ref="C16:D16"/>
    <mergeCell ref="I16:J16"/>
    <mergeCell ref="E13:F13"/>
  </mergeCells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  <pageSetUpPr fitToPage="1"/>
  </sheetPr>
  <dimension ref="A1:H51"/>
  <sheetViews>
    <sheetView showGridLines="0" workbookViewId="0"/>
  </sheetViews>
  <sheetFormatPr defaultRowHeight="14.4" x14ac:dyDescent="0.3"/>
  <cols>
    <col min="1" max="1" width="2.6640625" style="3" customWidth="1"/>
    <col min="2" max="2" width="44" style="3" customWidth="1"/>
    <col min="3" max="7" width="13" style="3" customWidth="1"/>
    <col min="8" max="8" width="40" style="3" customWidth="1"/>
  </cols>
  <sheetData>
    <row r="1" spans="2:8" ht="42" customHeight="1" x14ac:dyDescent="0.3">
      <c r="B1" s="4" t="s">
        <v>388</v>
      </c>
    </row>
    <row r="2" spans="2:8" ht="21" customHeight="1" x14ac:dyDescent="0.3">
      <c r="B2" s="5" t="s">
        <v>389</v>
      </c>
    </row>
    <row r="4" spans="2:8" x14ac:dyDescent="0.3">
      <c r="B4" s="65" t="s">
        <v>390</v>
      </c>
      <c r="C4" s="2" t="s">
        <v>391</v>
      </c>
      <c r="H4" s="65" t="s">
        <v>392</v>
      </c>
    </row>
    <row r="5" spans="2:8" ht="28.8" x14ac:dyDescent="0.3">
      <c r="B5" s="40" t="s">
        <v>393</v>
      </c>
      <c r="C5" s="66">
        <v>0.12</v>
      </c>
      <c r="H5" s="40" t="s">
        <v>394</v>
      </c>
    </row>
    <row r="6" spans="2:8" ht="28.8" x14ac:dyDescent="0.3">
      <c r="B6" s="40" t="s">
        <v>395</v>
      </c>
      <c r="C6" s="67">
        <v>62000</v>
      </c>
      <c r="H6" s="40" t="s">
        <v>396</v>
      </c>
    </row>
    <row r="7" spans="2:8" x14ac:dyDescent="0.3">
      <c r="B7" s="40" t="s">
        <v>397</v>
      </c>
      <c r="C7" s="66">
        <v>1.4999999999999999E-2</v>
      </c>
      <c r="H7" s="40" t="s">
        <v>398</v>
      </c>
    </row>
    <row r="8" spans="2:8" ht="28.8" x14ac:dyDescent="0.3">
      <c r="B8" s="40" t="s">
        <v>399</v>
      </c>
      <c r="C8" s="66">
        <v>7.0000000000000007E-2</v>
      </c>
      <c r="H8" s="40" t="s">
        <v>400</v>
      </c>
    </row>
    <row r="9" spans="2:8" x14ac:dyDescent="0.3">
      <c r="B9" s="40" t="s">
        <v>401</v>
      </c>
      <c r="C9" s="68">
        <v>0.5</v>
      </c>
      <c r="H9" s="40" t="s">
        <v>402</v>
      </c>
    </row>
    <row r="10" spans="2:8" ht="28.8" x14ac:dyDescent="0.3">
      <c r="B10" s="40" t="s">
        <v>403</v>
      </c>
      <c r="C10" s="68">
        <v>0.2</v>
      </c>
      <c r="H10" s="40" t="s">
        <v>404</v>
      </c>
    </row>
    <row r="11" spans="2:8" x14ac:dyDescent="0.3">
      <c r="B11" s="40" t="s">
        <v>405</v>
      </c>
      <c r="C11" s="67">
        <v>180</v>
      </c>
      <c r="H11" s="40" t="s">
        <v>406</v>
      </c>
    </row>
    <row r="12" spans="2:8" x14ac:dyDescent="0.3">
      <c r="B12" s="40" t="s">
        <v>407</v>
      </c>
      <c r="C12" s="67">
        <v>30</v>
      </c>
      <c r="H12" s="40" t="s">
        <v>408</v>
      </c>
    </row>
    <row r="13" spans="2:8" ht="28.8" x14ac:dyDescent="0.3">
      <c r="B13" s="40" t="s">
        <v>409</v>
      </c>
      <c r="C13" s="44">
        <f>'Chi phí'!J79</f>
        <v>1500</v>
      </c>
      <c r="H13" s="40" t="s">
        <v>410</v>
      </c>
    </row>
    <row r="15" spans="2:8" x14ac:dyDescent="0.3">
      <c r="B15" s="65" t="s">
        <v>411</v>
      </c>
      <c r="C15" s="2" t="s">
        <v>391</v>
      </c>
      <c r="H15" s="65" t="s">
        <v>392</v>
      </c>
    </row>
    <row r="16" spans="2:8" x14ac:dyDescent="0.3">
      <c r="B16" s="40" t="s">
        <v>412</v>
      </c>
      <c r="C16" s="58">
        <v>180</v>
      </c>
      <c r="H16" s="40" t="s">
        <v>413</v>
      </c>
    </row>
    <row r="17" spans="2:8" x14ac:dyDescent="0.3">
      <c r="B17" s="40" t="s">
        <v>414</v>
      </c>
      <c r="C17" s="58">
        <v>12</v>
      </c>
      <c r="H17" s="40" t="s">
        <v>415</v>
      </c>
    </row>
    <row r="18" spans="2:8" x14ac:dyDescent="0.3">
      <c r="B18" s="40" t="s">
        <v>416</v>
      </c>
      <c r="C18" s="58">
        <v>24</v>
      </c>
      <c r="H18" s="40" t="s">
        <v>417</v>
      </c>
    </row>
    <row r="19" spans="2:8" x14ac:dyDescent="0.3">
      <c r="B19" s="40" t="s">
        <v>418</v>
      </c>
      <c r="C19" s="58">
        <v>7.5</v>
      </c>
      <c r="H19" s="40" t="s">
        <v>419</v>
      </c>
    </row>
    <row r="20" spans="2:8" x14ac:dyDescent="0.3">
      <c r="B20" s="40" t="s">
        <v>420</v>
      </c>
      <c r="C20" s="58">
        <v>24</v>
      </c>
      <c r="H20" s="40" t="s">
        <v>421</v>
      </c>
    </row>
    <row r="21" spans="2:8" x14ac:dyDescent="0.3">
      <c r="B21" s="45" t="s">
        <v>422</v>
      </c>
      <c r="C21" s="48">
        <f>SUM(C16:C20)</f>
        <v>247.5</v>
      </c>
    </row>
    <row r="23" spans="2:8" x14ac:dyDescent="0.3">
      <c r="B23" s="65" t="s">
        <v>423</v>
      </c>
      <c r="C23" s="2">
        <v>2027</v>
      </c>
      <c r="D23" s="2">
        <v>2028</v>
      </c>
      <c r="E23" s="2">
        <v>2029</v>
      </c>
      <c r="F23" s="2">
        <v>2030</v>
      </c>
    </row>
    <row r="24" spans="2:8" x14ac:dyDescent="0.3">
      <c r="B24" s="40" t="s">
        <v>424</v>
      </c>
      <c r="C24" s="68">
        <v>0</v>
      </c>
      <c r="D24" s="68">
        <v>0.7</v>
      </c>
      <c r="E24" s="68">
        <v>1</v>
      </c>
      <c r="F24" s="68">
        <v>1</v>
      </c>
    </row>
    <row r="25" spans="2:8" x14ac:dyDescent="0.3">
      <c r="B25" s="40" t="s">
        <v>425</v>
      </c>
      <c r="C25" s="68">
        <v>0</v>
      </c>
      <c r="D25" s="68">
        <v>0.5</v>
      </c>
      <c r="E25" s="68">
        <v>1</v>
      </c>
      <c r="F25" s="68">
        <v>1</v>
      </c>
    </row>
    <row r="26" spans="2:8" x14ac:dyDescent="0.3">
      <c r="B26" s="40" t="s">
        <v>426</v>
      </c>
      <c r="C26" s="68">
        <v>0</v>
      </c>
      <c r="D26" s="68">
        <v>1</v>
      </c>
      <c r="E26" s="68">
        <v>1</v>
      </c>
      <c r="F26" s="68">
        <v>1</v>
      </c>
    </row>
    <row r="28" spans="2:8" ht="24" customHeight="1" x14ac:dyDescent="0.3">
      <c r="B28" s="65" t="s">
        <v>427</v>
      </c>
      <c r="C28" s="2" t="s">
        <v>428</v>
      </c>
      <c r="D28" s="2" t="s">
        <v>429</v>
      </c>
      <c r="E28" s="2" t="s">
        <v>430</v>
      </c>
      <c r="F28" s="2" t="s">
        <v>431</v>
      </c>
      <c r="G28" s="2" t="s">
        <v>361</v>
      </c>
    </row>
    <row r="29" spans="2:8" x14ac:dyDescent="0.3">
      <c r="B29" s="40" t="s">
        <v>432</v>
      </c>
      <c r="C29" s="55">
        <v>0</v>
      </c>
      <c r="D29" s="55">
        <v>1</v>
      </c>
      <c r="E29" s="55">
        <v>2</v>
      </c>
      <c r="F29" s="55">
        <v>3</v>
      </c>
    </row>
    <row r="30" spans="2:8" x14ac:dyDescent="0.3">
      <c r="B30" s="40" t="s">
        <v>433</v>
      </c>
      <c r="C30" s="44">
        <f>$C$6*$C$7*C24</f>
        <v>0</v>
      </c>
      <c r="D30" s="44">
        <f>$C$6*$C$7*D24</f>
        <v>651</v>
      </c>
      <c r="E30" s="44">
        <f>$C$6*$C$7*E24</f>
        <v>930</v>
      </c>
      <c r="F30" s="44">
        <f>$C$6*$C$7*F24</f>
        <v>930</v>
      </c>
      <c r="G30" s="57">
        <f t="shared" ref="G30:G38" si="0">SUM(C30:F30)</f>
        <v>2511</v>
      </c>
    </row>
    <row r="31" spans="2:8" x14ac:dyDescent="0.3">
      <c r="B31" s="40" t="s">
        <v>434</v>
      </c>
      <c r="C31" s="44">
        <f>$C$6*$C$8*$C$9*$C$10*C25</f>
        <v>0</v>
      </c>
      <c r="D31" s="44">
        <f>$C$6*$C$8*$C$9*$C$10*D25</f>
        <v>217</v>
      </c>
      <c r="E31" s="44">
        <f>$C$6*$C$8*$C$9*$C$10*E25</f>
        <v>434</v>
      </c>
      <c r="F31" s="44">
        <f>$C$6*$C$8*$C$9*$C$10*F25</f>
        <v>434</v>
      </c>
      <c r="G31" s="57">
        <f t="shared" si="0"/>
        <v>1085</v>
      </c>
    </row>
    <row r="32" spans="2:8" x14ac:dyDescent="0.3">
      <c r="B32" s="40" t="s">
        <v>435</v>
      </c>
      <c r="C32" s="44">
        <f>$C$11*C26</f>
        <v>0</v>
      </c>
      <c r="D32" s="44">
        <f>$C$11*D26</f>
        <v>180</v>
      </c>
      <c r="E32" s="44">
        <f>$C$11*E26</f>
        <v>180</v>
      </c>
      <c r="F32" s="44">
        <f>$C$11*F26</f>
        <v>180</v>
      </c>
      <c r="G32" s="57">
        <f t="shared" si="0"/>
        <v>540</v>
      </c>
    </row>
    <row r="33" spans="2:8" x14ac:dyDescent="0.3">
      <c r="B33" s="40" t="s">
        <v>436</v>
      </c>
      <c r="C33" s="44">
        <f>$C$12*C26</f>
        <v>0</v>
      </c>
      <c r="D33" s="44">
        <f>$C$12*D26</f>
        <v>30</v>
      </c>
      <c r="E33" s="44">
        <f>$C$12*E26</f>
        <v>30</v>
      </c>
      <c r="F33" s="44">
        <f>$C$12*F26</f>
        <v>30</v>
      </c>
      <c r="G33" s="57">
        <f t="shared" si="0"/>
        <v>90</v>
      </c>
    </row>
    <row r="34" spans="2:8" x14ac:dyDescent="0.3">
      <c r="B34" s="62" t="s">
        <v>437</v>
      </c>
      <c r="C34" s="57">
        <f>SUM(C30:C33)</f>
        <v>0</v>
      </c>
      <c r="D34" s="57">
        <f>SUM(D30:D33)</f>
        <v>1078</v>
      </c>
      <c r="E34" s="57">
        <f>SUM(E30:E33)</f>
        <v>1574</v>
      </c>
      <c r="F34" s="57">
        <f>SUM(F30:F33)</f>
        <v>1574</v>
      </c>
      <c r="G34" s="57">
        <f t="shared" si="0"/>
        <v>4226</v>
      </c>
    </row>
    <row r="35" spans="2:8" x14ac:dyDescent="0.3">
      <c r="B35" s="40" t="s">
        <v>438</v>
      </c>
      <c r="C35" s="44">
        <f>$C$13</f>
        <v>1500</v>
      </c>
      <c r="D35" s="44">
        <v>0</v>
      </c>
      <c r="E35" s="44">
        <v>0</v>
      </c>
      <c r="F35" s="44">
        <v>0</v>
      </c>
      <c r="G35" s="57">
        <f t="shared" si="0"/>
        <v>1500</v>
      </c>
    </row>
    <row r="36" spans="2:8" x14ac:dyDescent="0.3">
      <c r="B36" s="40" t="s">
        <v>439</v>
      </c>
      <c r="C36" s="44">
        <v>0</v>
      </c>
      <c r="D36" s="44">
        <f>$C$21</f>
        <v>247.5</v>
      </c>
      <c r="E36" s="44">
        <f>$C$21</f>
        <v>247.5</v>
      </c>
      <c r="F36" s="44">
        <f>$C$21</f>
        <v>247.5</v>
      </c>
      <c r="G36" s="57">
        <f t="shared" si="0"/>
        <v>742.5</v>
      </c>
    </row>
    <row r="37" spans="2:8" x14ac:dyDescent="0.3">
      <c r="B37" s="62" t="s">
        <v>440</v>
      </c>
      <c r="C37" s="57">
        <f>C35+C36</f>
        <v>1500</v>
      </c>
      <c r="D37" s="57">
        <f>D35+D36</f>
        <v>247.5</v>
      </c>
      <c r="E37" s="57">
        <f>E35+E36</f>
        <v>247.5</v>
      </c>
      <c r="F37" s="57">
        <f>F35+F36</f>
        <v>247.5</v>
      </c>
      <c r="G37" s="57">
        <f t="shared" si="0"/>
        <v>2242.5</v>
      </c>
    </row>
    <row r="38" spans="2:8" x14ac:dyDescent="0.3">
      <c r="B38" s="62" t="s">
        <v>441</v>
      </c>
      <c r="C38" s="48">
        <f>C34-C37</f>
        <v>-1500</v>
      </c>
      <c r="D38" s="48">
        <f>D34-D37</f>
        <v>830.5</v>
      </c>
      <c r="E38" s="48">
        <f>E34-E37</f>
        <v>1326.5</v>
      </c>
      <c r="F38" s="48">
        <f>F34-F37</f>
        <v>1326.5</v>
      </c>
      <c r="G38" s="57">
        <f t="shared" si="0"/>
        <v>1983.5</v>
      </c>
    </row>
    <row r="39" spans="2:8" x14ac:dyDescent="0.3">
      <c r="B39" s="40" t="s">
        <v>442</v>
      </c>
      <c r="C39" s="69">
        <f>1/(1+$C$5)^C29</f>
        <v>1</v>
      </c>
      <c r="D39" s="69">
        <f>1/(1+$C$5)^D29</f>
        <v>0.89285714285714279</v>
      </c>
      <c r="E39" s="69">
        <f>1/(1+$C$5)^E29</f>
        <v>0.79719387755102034</v>
      </c>
      <c r="F39" s="69">
        <f>1/(1+$C$5)^F29</f>
        <v>0.71178024781341087</v>
      </c>
    </row>
    <row r="40" spans="2:8" x14ac:dyDescent="0.3">
      <c r="B40" s="40" t="s">
        <v>443</v>
      </c>
      <c r="C40" s="44">
        <f>C34*C39</f>
        <v>0</v>
      </c>
      <c r="D40" s="44">
        <f>D34*D39</f>
        <v>962.49999999999989</v>
      </c>
      <c r="E40" s="44">
        <f>E34*E39</f>
        <v>1254.783163265306</v>
      </c>
      <c r="F40" s="44">
        <f>F34*F39</f>
        <v>1120.3421100583087</v>
      </c>
      <c r="G40" s="57">
        <f>SUM(C40:F40)</f>
        <v>3337.6252733236147</v>
      </c>
    </row>
    <row r="41" spans="2:8" x14ac:dyDescent="0.3">
      <c r="B41" s="40" t="s">
        <v>444</v>
      </c>
      <c r="C41" s="44">
        <f>C37*C39</f>
        <v>1500</v>
      </c>
      <c r="D41" s="44">
        <f>D37*D39</f>
        <v>220.98214285714283</v>
      </c>
      <c r="E41" s="44">
        <f>E37*E39</f>
        <v>197.30548469387753</v>
      </c>
      <c r="F41" s="44">
        <f>F37*F39</f>
        <v>176.16561133381919</v>
      </c>
      <c r="G41" s="57">
        <f>SUM(C41:F41)</f>
        <v>2094.4532388848397</v>
      </c>
    </row>
    <row r="42" spans="2:8" x14ac:dyDescent="0.3">
      <c r="B42" s="62" t="s">
        <v>445</v>
      </c>
      <c r="C42" s="48">
        <f>C40-C41</f>
        <v>-1500</v>
      </c>
      <c r="D42" s="48">
        <f>D40-D41</f>
        <v>741.51785714285711</v>
      </c>
      <c r="E42" s="48">
        <f>E40-E41</f>
        <v>1057.4776785714284</v>
      </c>
      <c r="F42" s="48">
        <f>F40-F41</f>
        <v>944.17649872448942</v>
      </c>
      <c r="G42" s="57">
        <f>SUM(C42:F42)</f>
        <v>1243.172034438775</v>
      </c>
    </row>
    <row r="43" spans="2:8" x14ac:dyDescent="0.3">
      <c r="B43" s="62" t="s">
        <v>446</v>
      </c>
      <c r="C43" s="57">
        <f>C42</f>
        <v>-1500</v>
      </c>
      <c r="D43" s="57">
        <f>C43+D42</f>
        <v>-758.48214285714289</v>
      </c>
      <c r="E43" s="57">
        <f>D43+E42</f>
        <v>298.99553571428555</v>
      </c>
      <c r="F43" s="57">
        <f>E43+F42</f>
        <v>1243.172034438775</v>
      </c>
    </row>
    <row r="45" spans="2:8" x14ac:dyDescent="0.3">
      <c r="B45" s="65" t="s">
        <v>447</v>
      </c>
      <c r="C45" s="2" t="s">
        <v>391</v>
      </c>
      <c r="H45" s="65" t="s">
        <v>448</v>
      </c>
    </row>
    <row r="46" spans="2:8" x14ac:dyDescent="0.3">
      <c r="B46" s="62" t="s">
        <v>449</v>
      </c>
      <c r="C46" s="56">
        <f>C38+NPV($C$5,D38:F38)</f>
        <v>1243.172034438775</v>
      </c>
      <c r="H46" s="40" t="s">
        <v>450</v>
      </c>
    </row>
    <row r="47" spans="2:8" x14ac:dyDescent="0.3">
      <c r="B47" s="62" t="s">
        <v>451</v>
      </c>
      <c r="C47" s="56">
        <f>G42</f>
        <v>1243.172034438775</v>
      </c>
      <c r="H47" s="40" t="s">
        <v>452</v>
      </c>
    </row>
    <row r="48" spans="2:8" x14ac:dyDescent="0.3">
      <c r="B48" s="62" t="s">
        <v>453</v>
      </c>
      <c r="C48" s="70">
        <f>(G40-G41)/G41</f>
        <v>0.59355444722207473</v>
      </c>
      <c r="H48" s="40" t="s">
        <v>454</v>
      </c>
    </row>
    <row r="49" spans="2:8" x14ac:dyDescent="0.3">
      <c r="B49" s="62" t="s">
        <v>455</v>
      </c>
      <c r="C49" s="71">
        <f>$C$13/AVERAGE(D38:F38)</f>
        <v>1.2918042198937849</v>
      </c>
      <c r="H49" s="40" t="s">
        <v>456</v>
      </c>
    </row>
    <row r="50" spans="2:8" x14ac:dyDescent="0.3">
      <c r="B50" s="62" t="s">
        <v>457</v>
      </c>
      <c r="C50" s="71">
        <f>IF(D43&gt;=0,-C43/D42,IF(E43&gt;=0,1-D43/E42,IF(F43&gt;=0,2-E43/F42,"&gt; 3 năm")))</f>
        <v>1.7172559366754618</v>
      </c>
      <c r="H50" s="40" t="s">
        <v>458</v>
      </c>
    </row>
    <row r="51" spans="2:8" x14ac:dyDescent="0.3">
      <c r="B51" s="62" t="s">
        <v>459</v>
      </c>
      <c r="C51" s="70">
        <f>G41/G40</f>
        <v>0.62752797793839166</v>
      </c>
      <c r="H51" s="40" t="s">
        <v>460</v>
      </c>
    </row>
  </sheetData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  <pageSetUpPr fitToPage="1"/>
  </sheetPr>
  <dimension ref="A1:N87"/>
  <sheetViews>
    <sheetView showGridLines="0" workbookViewId="0">
      <pane xSplit="3" ySplit="15" topLeftCell="D1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.6640625" style="3" customWidth="1"/>
    <col min="2" max="2" width="11" style="3" customWidth="1"/>
    <col min="3" max="3" width="40" style="3" customWidth="1"/>
    <col min="4" max="5" width="11" style="3" customWidth="1"/>
    <col min="6" max="6" width="10" style="3" customWidth="1"/>
    <col min="7" max="11" width="11" style="3" customWidth="1"/>
    <col min="12" max="13" width="8" style="3" customWidth="1"/>
    <col min="14" max="14" width="66" style="3" customWidth="1"/>
  </cols>
  <sheetData>
    <row r="1" spans="2:14" ht="42" customHeight="1" x14ac:dyDescent="0.3">
      <c r="B1" s="4" t="s">
        <v>461</v>
      </c>
    </row>
    <row r="2" spans="2:14" ht="21" customHeight="1" x14ac:dyDescent="0.3">
      <c r="B2" s="5" t="s">
        <v>462</v>
      </c>
    </row>
    <row r="4" spans="2:14" x14ac:dyDescent="0.3">
      <c r="B4" s="109" t="s">
        <v>463</v>
      </c>
      <c r="C4" s="91"/>
      <c r="D4" s="2" t="s">
        <v>391</v>
      </c>
      <c r="E4" s="109" t="s">
        <v>392</v>
      </c>
      <c r="F4" s="91"/>
      <c r="G4" s="91"/>
      <c r="H4" s="91"/>
      <c r="I4" s="91"/>
      <c r="J4" s="91"/>
      <c r="K4" s="91"/>
      <c r="L4" s="91"/>
      <c r="M4" s="91"/>
      <c r="N4" s="91"/>
    </row>
    <row r="5" spans="2:14" x14ac:dyDescent="0.3">
      <c r="B5" s="102" t="s">
        <v>464</v>
      </c>
      <c r="C5" s="94"/>
      <c r="D5" s="54">
        <v>13</v>
      </c>
      <c r="E5" s="102" t="s">
        <v>465</v>
      </c>
      <c r="F5" s="93"/>
      <c r="G5" s="93"/>
      <c r="H5" s="93"/>
      <c r="I5" s="93"/>
      <c r="J5" s="93"/>
      <c r="K5" s="93"/>
      <c r="L5" s="93"/>
      <c r="M5" s="93"/>
      <c r="N5" s="94"/>
    </row>
    <row r="6" spans="2:14" x14ac:dyDescent="0.3">
      <c r="B6" s="102" t="s">
        <v>466</v>
      </c>
      <c r="C6" s="94"/>
      <c r="D6" s="72">
        <f>'Hoạt động, lịch'!$D$28+(D5-1)*7+4</f>
        <v>46535</v>
      </c>
      <c r="E6" s="102" t="s">
        <v>467</v>
      </c>
      <c r="F6" s="93"/>
      <c r="G6" s="93"/>
      <c r="H6" s="93"/>
      <c r="I6" s="93"/>
      <c r="J6" s="93"/>
      <c r="K6" s="93"/>
      <c r="L6" s="93"/>
      <c r="M6" s="93"/>
      <c r="N6" s="94"/>
    </row>
    <row r="7" spans="2:14" x14ac:dyDescent="0.3">
      <c r="B7" s="102" t="s">
        <v>468</v>
      </c>
      <c r="C7" s="94"/>
      <c r="D7" s="55">
        <f>MONTH('Hoạt động, lịch'!$D$28+(D5-1)*7+2)</f>
        <v>5</v>
      </c>
      <c r="E7" s="102" t="s">
        <v>469</v>
      </c>
      <c r="F7" s="93"/>
      <c r="G7" s="93"/>
      <c r="H7" s="93"/>
      <c r="I7" s="93"/>
      <c r="J7" s="93"/>
      <c r="K7" s="93"/>
      <c r="L7" s="93"/>
      <c r="M7" s="93"/>
      <c r="N7" s="94"/>
    </row>
    <row r="8" spans="2:14" x14ac:dyDescent="0.3">
      <c r="B8" s="102" t="s">
        <v>470</v>
      </c>
      <c r="C8" s="94"/>
      <c r="D8" s="44">
        <f>'Chi phí'!$J$77</f>
        <v>1360</v>
      </c>
      <c r="E8" s="102" t="s">
        <v>471</v>
      </c>
      <c r="F8" s="93"/>
      <c r="G8" s="93"/>
      <c r="H8" s="93"/>
      <c r="I8" s="93"/>
      <c r="J8" s="93"/>
      <c r="K8" s="93"/>
      <c r="L8" s="93"/>
      <c r="M8" s="93"/>
      <c r="N8" s="94"/>
    </row>
    <row r="9" spans="2:14" x14ac:dyDescent="0.3">
      <c r="B9" s="102" t="s">
        <v>472</v>
      </c>
      <c r="C9" s="94"/>
      <c r="D9" s="44">
        <f>'Chi phí'!$J$79</f>
        <v>1500</v>
      </c>
      <c r="E9" s="102" t="s">
        <v>473</v>
      </c>
      <c r="F9" s="93"/>
      <c r="G9" s="93"/>
      <c r="H9" s="93"/>
      <c r="I9" s="93"/>
      <c r="J9" s="93"/>
      <c r="K9" s="93"/>
      <c r="L9" s="93"/>
      <c r="M9" s="93"/>
      <c r="N9" s="94"/>
    </row>
    <row r="10" spans="2:14" x14ac:dyDescent="0.3">
      <c r="B10" s="102" t="s">
        <v>474</v>
      </c>
      <c r="C10" s="94"/>
      <c r="D10" s="44">
        <f>'Chi phí'!$J$78</f>
        <v>140</v>
      </c>
      <c r="E10" s="102" t="s">
        <v>475</v>
      </c>
      <c r="F10" s="93"/>
      <c r="G10" s="93"/>
      <c r="H10" s="93"/>
      <c r="I10" s="93"/>
      <c r="J10" s="93"/>
      <c r="K10" s="93"/>
      <c r="L10" s="93"/>
      <c r="M10" s="93"/>
      <c r="N10" s="94"/>
    </row>
    <row r="11" spans="2:14" x14ac:dyDescent="0.3">
      <c r="B11" s="102" t="s">
        <v>476</v>
      </c>
      <c r="C11" s="94"/>
      <c r="D11" s="73">
        <v>0.95</v>
      </c>
      <c r="E11" s="102" t="s">
        <v>477</v>
      </c>
      <c r="F11" s="93"/>
      <c r="G11" s="93"/>
      <c r="H11" s="93"/>
      <c r="I11" s="93"/>
      <c r="J11" s="93"/>
      <c r="K11" s="93"/>
      <c r="L11" s="93"/>
      <c r="M11" s="93"/>
      <c r="N11" s="94"/>
    </row>
    <row r="12" spans="2:14" x14ac:dyDescent="0.3">
      <c r="B12" s="102" t="s">
        <v>478</v>
      </c>
      <c r="C12" s="94"/>
      <c r="D12" s="73">
        <v>0.9</v>
      </c>
      <c r="E12" s="102" t="s">
        <v>479</v>
      </c>
      <c r="F12" s="93"/>
      <c r="G12" s="93"/>
      <c r="H12" s="93"/>
      <c r="I12" s="93"/>
      <c r="J12" s="93"/>
      <c r="K12" s="93"/>
      <c r="L12" s="93"/>
      <c r="M12" s="93"/>
      <c r="N12" s="94"/>
    </row>
    <row r="14" spans="2:14" ht="30" customHeight="1" x14ac:dyDescent="0.3">
      <c r="B14" s="90" t="s">
        <v>162</v>
      </c>
      <c r="C14" s="90" t="s">
        <v>357</v>
      </c>
      <c r="D14" s="90" t="s">
        <v>480</v>
      </c>
      <c r="E14" s="90" t="s">
        <v>481</v>
      </c>
      <c r="F14" s="90" t="s">
        <v>482</v>
      </c>
      <c r="G14" s="90" t="s">
        <v>483</v>
      </c>
      <c r="H14" s="90" t="s">
        <v>484</v>
      </c>
      <c r="I14" s="90" t="s">
        <v>485</v>
      </c>
      <c r="J14" s="90" t="s">
        <v>486</v>
      </c>
      <c r="K14" s="90" t="s">
        <v>487</v>
      </c>
      <c r="L14" s="90" t="s">
        <v>488</v>
      </c>
      <c r="M14" s="90" t="s">
        <v>489</v>
      </c>
      <c r="N14" s="90" t="s">
        <v>490</v>
      </c>
    </row>
    <row r="15" spans="2:14" x14ac:dyDescent="0.3"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</row>
    <row r="16" spans="2:14" ht="19.95" customHeight="1" x14ac:dyDescent="0.3">
      <c r="B16" s="13" t="s">
        <v>21</v>
      </c>
      <c r="C16" s="40" t="str">
        <f>INDEX(WBS!$C$5:$C$44,MATCH($B16,WBS!$B$5:$B$44,0))</f>
        <v>Charter, kick-off</v>
      </c>
      <c r="D16" s="44">
        <f>SUMIF('Chi phí'!$B$5:$B$68,$B16,'Chi phí'!$J$5:$J$68)</f>
        <v>7</v>
      </c>
      <c r="E16" s="44">
        <f>SUMPRODUCT(('Chi phí'!$B$5:$B$68=$B16)*'Chi phí'!$J$5:$J$68*((($D$5&gt;='Chi phí'!$K$5:$K$68)*($D$5&lt;'Chi phí'!$L$5:$L$68)*($D$5-'Chi phí'!$K$5:$K$68+1)/('Chi phí'!$L$5:$L$68-'Chi phí'!$K$5:$K$68+1))+($D$5&gt;='Chi phí'!$L$5:$L$68)))</f>
        <v>7</v>
      </c>
      <c r="F16" s="63">
        <f t="shared" ref="F16:F33" si="0">IF(D16=0,0,E16/D16)</f>
        <v>1</v>
      </c>
      <c r="G16" s="66">
        <f t="shared" ref="G16:G25" si="1">F16</f>
        <v>1</v>
      </c>
      <c r="H16" s="44">
        <f t="shared" ref="H16:H33" si="2">G16*D16</f>
        <v>7</v>
      </c>
      <c r="I16" s="58">
        <f>E16</f>
        <v>7</v>
      </c>
      <c r="J16" s="44">
        <f t="shared" ref="J16:J33" si="3">H16-I16</f>
        <v>0</v>
      </c>
      <c r="K16" s="44">
        <f t="shared" ref="K16:K33" si="4">H16-E16</f>
        <v>0</v>
      </c>
      <c r="L16" s="74">
        <f t="shared" ref="L16:L33" si="5">IF(I16=0,"",H16/I16)</f>
        <v>1</v>
      </c>
      <c r="M16" s="74">
        <f t="shared" ref="M16:M33" si="6">IF(E16=0,"",H16/E16)</f>
        <v>1</v>
      </c>
      <c r="N16" s="40" t="s">
        <v>491</v>
      </c>
    </row>
    <row r="17" spans="2:14" ht="19.95" customHeight="1" x14ac:dyDescent="0.3">
      <c r="B17" s="13" t="s">
        <v>25</v>
      </c>
      <c r="C17" s="40" t="str">
        <f>INDEX(WBS!$C$5:$C$44,MATCH($B17,WBS!$B$5:$B$44,0))</f>
        <v>Kế hoạch dự án</v>
      </c>
      <c r="D17" s="44">
        <f>SUMIF('Chi phí'!$B$5:$B$68,$B17,'Chi phí'!$J$5:$J$68)</f>
        <v>22</v>
      </c>
      <c r="E17" s="44">
        <f>SUMPRODUCT(('Chi phí'!$B$5:$B$68=$B17)*'Chi phí'!$J$5:$J$68*((($D$5&gt;='Chi phí'!$K$5:$K$68)*($D$5&lt;'Chi phí'!$L$5:$L$68)*($D$5-'Chi phí'!$K$5:$K$68+1)/('Chi phí'!$L$5:$L$68-'Chi phí'!$K$5:$K$68+1))+($D$5&gt;='Chi phí'!$L$5:$L$68)))</f>
        <v>22</v>
      </c>
      <c r="F17" s="63">
        <f t="shared" si="0"/>
        <v>1</v>
      </c>
      <c r="G17" s="66">
        <f t="shared" si="1"/>
        <v>1</v>
      </c>
      <c r="H17" s="44">
        <f t="shared" si="2"/>
        <v>22</v>
      </c>
      <c r="I17" s="58">
        <f>E17</f>
        <v>22</v>
      </c>
      <c r="J17" s="44">
        <f t="shared" si="3"/>
        <v>0</v>
      </c>
      <c r="K17" s="44">
        <f t="shared" si="4"/>
        <v>0</v>
      </c>
      <c r="L17" s="74">
        <f t="shared" si="5"/>
        <v>1</v>
      </c>
      <c r="M17" s="74">
        <f t="shared" si="6"/>
        <v>1</v>
      </c>
      <c r="N17" s="40" t="s">
        <v>491</v>
      </c>
    </row>
    <row r="18" spans="2:14" ht="30" customHeight="1" x14ac:dyDescent="0.3">
      <c r="B18" s="13" t="s">
        <v>28</v>
      </c>
      <c r="C18" s="40" t="str">
        <f>INDEX(WBS!$C$5:$C$44,MATCH($B18,WBS!$B$5:$B$44,0))</f>
        <v>Hợp đồng đối tác</v>
      </c>
      <c r="D18" s="44">
        <f>SUMIF('Chi phí'!$B$5:$B$68,$B18,'Chi phí'!$J$5:$J$68)</f>
        <v>10.5</v>
      </c>
      <c r="E18" s="44">
        <f>SUMPRODUCT(('Chi phí'!$B$5:$B$68=$B18)*'Chi phí'!$J$5:$J$68*((($D$5&gt;='Chi phí'!$K$5:$K$68)*($D$5&lt;'Chi phí'!$L$5:$L$68)*($D$5-'Chi phí'!$K$5:$K$68+1)/('Chi phí'!$L$5:$L$68-'Chi phí'!$K$5:$K$68+1))+($D$5&gt;='Chi phí'!$L$5:$L$68)))</f>
        <v>10.5</v>
      </c>
      <c r="F18" s="63">
        <f t="shared" si="0"/>
        <v>1</v>
      </c>
      <c r="G18" s="66">
        <f t="shared" si="1"/>
        <v>1</v>
      </c>
      <c r="H18" s="44">
        <f t="shared" si="2"/>
        <v>10.5</v>
      </c>
      <c r="I18" s="58">
        <v>12</v>
      </c>
      <c r="J18" s="44">
        <f t="shared" si="3"/>
        <v>-1.5</v>
      </c>
      <c r="K18" s="44">
        <f t="shared" si="4"/>
        <v>0</v>
      </c>
      <c r="L18" s="74">
        <f t="shared" si="5"/>
        <v>0.875</v>
      </c>
      <c r="M18" s="74">
        <f t="shared" si="6"/>
        <v>1</v>
      </c>
      <c r="N18" s="40" t="s">
        <v>492</v>
      </c>
    </row>
    <row r="19" spans="2:14" ht="19.95" customHeight="1" x14ac:dyDescent="0.3">
      <c r="B19" s="13" t="s">
        <v>35</v>
      </c>
      <c r="C19" s="40" t="str">
        <f>INDEX(WBS!$C$5:$C$44,MATCH($B19,WBS!$B$5:$B$44,0))</f>
        <v>Báo cáo, EVM</v>
      </c>
      <c r="D19" s="44">
        <f>SUMIF('Chi phí'!$B$5:$B$68,$B19,'Chi phí'!$J$5:$J$68)</f>
        <v>32.5</v>
      </c>
      <c r="E19" s="44">
        <f>SUMPRODUCT(('Chi phí'!$B$5:$B$68=$B19)*'Chi phí'!$J$5:$J$68*((($D$5&gt;='Chi phí'!$K$5:$K$68)*($D$5&lt;'Chi phí'!$L$5:$L$68)*($D$5-'Chi phí'!$K$5:$K$68+1)/('Chi phí'!$L$5:$L$68-'Chi phí'!$K$5:$K$68+1))+($D$5&gt;='Chi phí'!$L$5:$L$68)))</f>
        <v>16.25</v>
      </c>
      <c r="F19" s="63">
        <f t="shared" si="0"/>
        <v>0.5</v>
      </c>
      <c r="G19" s="66">
        <f t="shared" si="1"/>
        <v>0.5</v>
      </c>
      <c r="H19" s="44">
        <f t="shared" si="2"/>
        <v>16.25</v>
      </c>
      <c r="I19" s="58">
        <f>E19</f>
        <v>16.25</v>
      </c>
      <c r="J19" s="44">
        <f t="shared" si="3"/>
        <v>0</v>
      </c>
      <c r="K19" s="44">
        <f t="shared" si="4"/>
        <v>0</v>
      </c>
      <c r="L19" s="74">
        <f t="shared" si="5"/>
        <v>1</v>
      </c>
      <c r="M19" s="74">
        <f t="shared" si="6"/>
        <v>1</v>
      </c>
      <c r="N19" s="40" t="s">
        <v>493</v>
      </c>
    </row>
    <row r="20" spans="2:14" ht="19.95" customHeight="1" x14ac:dyDescent="0.3">
      <c r="B20" s="13" t="s">
        <v>39</v>
      </c>
      <c r="C20" s="40" t="str">
        <f>INDEX(WBS!$C$5:$C$44,MATCH($B20,WBS!$B$5:$B$44,0))</f>
        <v>Thay đổi, rủi ro</v>
      </c>
      <c r="D20" s="44">
        <f>SUMIF('Chi phí'!$B$5:$B$68,$B20,'Chi phí'!$J$5:$J$68)</f>
        <v>22</v>
      </c>
      <c r="E20" s="44">
        <f>SUMPRODUCT(('Chi phí'!$B$5:$B$68=$B20)*'Chi phí'!$J$5:$J$68*((($D$5&gt;='Chi phí'!$K$5:$K$68)*($D$5&lt;'Chi phí'!$L$5:$L$68)*($D$5-'Chi phí'!$K$5:$K$68+1)/('Chi phí'!$L$5:$L$68-'Chi phí'!$K$5:$K$68+1))+($D$5&gt;='Chi phí'!$L$5:$L$68)))</f>
        <v>11</v>
      </c>
      <c r="F20" s="63">
        <f t="shared" si="0"/>
        <v>0.5</v>
      </c>
      <c r="G20" s="66">
        <f t="shared" si="1"/>
        <v>0.5</v>
      </c>
      <c r="H20" s="44">
        <f t="shared" si="2"/>
        <v>11</v>
      </c>
      <c r="I20" s="58">
        <f>E20</f>
        <v>11</v>
      </c>
      <c r="J20" s="44">
        <f t="shared" si="3"/>
        <v>0</v>
      </c>
      <c r="K20" s="44">
        <f t="shared" si="4"/>
        <v>0</v>
      </c>
      <c r="L20" s="74">
        <f t="shared" si="5"/>
        <v>1</v>
      </c>
      <c r="M20" s="74">
        <f t="shared" si="6"/>
        <v>1</v>
      </c>
      <c r="N20" s="40" t="s">
        <v>493</v>
      </c>
    </row>
    <row r="21" spans="2:14" ht="19.95" customHeight="1" x14ac:dyDescent="0.3">
      <c r="B21" s="13" t="s">
        <v>47</v>
      </c>
      <c r="C21" s="40" t="str">
        <f>INDEX(WBS!$C$5:$C$44,MATCH($B21,WBS!$B$5:$B$44,0))</f>
        <v>Khảo sát hiện trạng</v>
      </c>
      <c r="D21" s="44">
        <f>SUMIF('Chi phí'!$B$5:$B$68,$B21,'Chi phí'!$J$5:$J$68)</f>
        <v>25</v>
      </c>
      <c r="E21" s="44">
        <f>SUMPRODUCT(('Chi phí'!$B$5:$B$68=$B21)*'Chi phí'!$J$5:$J$68*((($D$5&gt;='Chi phí'!$K$5:$K$68)*($D$5&lt;'Chi phí'!$L$5:$L$68)*($D$5-'Chi phí'!$K$5:$K$68+1)/('Chi phí'!$L$5:$L$68-'Chi phí'!$K$5:$K$68+1))+($D$5&gt;='Chi phí'!$L$5:$L$68)))</f>
        <v>25</v>
      </c>
      <c r="F21" s="63">
        <f t="shared" si="0"/>
        <v>1</v>
      </c>
      <c r="G21" s="66">
        <f t="shared" si="1"/>
        <v>1</v>
      </c>
      <c r="H21" s="44">
        <f t="shared" si="2"/>
        <v>25</v>
      </c>
      <c r="I21" s="58">
        <f>E21</f>
        <v>25</v>
      </c>
      <c r="J21" s="44">
        <f t="shared" si="3"/>
        <v>0</v>
      </c>
      <c r="K21" s="44">
        <f t="shared" si="4"/>
        <v>0</v>
      </c>
      <c r="L21" s="74">
        <f t="shared" si="5"/>
        <v>1</v>
      </c>
      <c r="M21" s="74">
        <f t="shared" si="6"/>
        <v>1</v>
      </c>
      <c r="N21" s="40" t="s">
        <v>491</v>
      </c>
    </row>
    <row r="22" spans="2:14" ht="30" customHeight="1" x14ac:dyDescent="0.3">
      <c r="B22" s="13" t="s">
        <v>51</v>
      </c>
      <c r="C22" s="40" t="str">
        <f>INDEX(WBS!$C$5:$C$44,MATCH($B22,WBS!$B$5:$B$44,0))</f>
        <v>Đặc tả yêu cầu (SRS)</v>
      </c>
      <c r="D22" s="44">
        <f>SUMIF('Chi phí'!$B$5:$B$68,$B22,'Chi phí'!$J$5:$J$68)</f>
        <v>30.5</v>
      </c>
      <c r="E22" s="44">
        <f>SUMPRODUCT(('Chi phí'!$B$5:$B$68=$B22)*'Chi phí'!$J$5:$J$68*((($D$5&gt;='Chi phí'!$K$5:$K$68)*($D$5&lt;'Chi phí'!$L$5:$L$68)*($D$5-'Chi phí'!$K$5:$K$68+1)/('Chi phí'!$L$5:$L$68-'Chi phí'!$K$5:$K$68+1))+($D$5&gt;='Chi phí'!$L$5:$L$68)))</f>
        <v>30.5</v>
      </c>
      <c r="F22" s="63">
        <f t="shared" si="0"/>
        <v>1</v>
      </c>
      <c r="G22" s="66">
        <f t="shared" si="1"/>
        <v>1</v>
      </c>
      <c r="H22" s="44">
        <f t="shared" si="2"/>
        <v>30.5</v>
      </c>
      <c r="I22" s="58">
        <v>33.5</v>
      </c>
      <c r="J22" s="44">
        <f t="shared" si="3"/>
        <v>-3</v>
      </c>
      <c r="K22" s="44">
        <f t="shared" si="4"/>
        <v>0</v>
      </c>
      <c r="L22" s="74">
        <f t="shared" si="5"/>
        <v>0.91044776119402981</v>
      </c>
      <c r="M22" s="74">
        <f t="shared" si="6"/>
        <v>1</v>
      </c>
      <c r="N22" s="40" t="s">
        <v>494</v>
      </c>
    </row>
    <row r="23" spans="2:14" ht="19.95" customHeight="1" x14ac:dyDescent="0.3">
      <c r="B23" s="13" t="s">
        <v>59</v>
      </c>
      <c r="C23" s="40" t="str">
        <f>INDEX(WBS!$C$5:$C$44,MATCH($B23,WBS!$B$5:$B$44,0))</f>
        <v>Quy trình, cấu hình</v>
      </c>
      <c r="D23" s="44">
        <f>SUMIF('Chi phí'!$B$5:$B$68,$B23,'Chi phí'!$J$5:$J$68)</f>
        <v>47.5</v>
      </c>
      <c r="E23" s="44">
        <f>SUMPRODUCT(('Chi phí'!$B$5:$B$68=$B23)*'Chi phí'!$J$5:$J$68*((($D$5&gt;='Chi phí'!$K$5:$K$68)*($D$5&lt;'Chi phí'!$L$5:$L$68)*($D$5-'Chi phí'!$K$5:$K$68+1)/('Chi phí'!$L$5:$L$68-'Chi phí'!$K$5:$K$68+1))+($D$5&gt;='Chi phí'!$L$5:$L$68)))</f>
        <v>47.5</v>
      </c>
      <c r="F23" s="63">
        <f t="shared" si="0"/>
        <v>1</v>
      </c>
      <c r="G23" s="66">
        <f t="shared" si="1"/>
        <v>1</v>
      </c>
      <c r="H23" s="44">
        <f t="shared" si="2"/>
        <v>47.5</v>
      </c>
      <c r="I23" s="58">
        <f>E23</f>
        <v>47.5</v>
      </c>
      <c r="J23" s="44">
        <f t="shared" si="3"/>
        <v>0</v>
      </c>
      <c r="K23" s="44">
        <f t="shared" si="4"/>
        <v>0</v>
      </c>
      <c r="L23" s="74">
        <f t="shared" si="5"/>
        <v>1</v>
      </c>
      <c r="M23" s="74">
        <f t="shared" si="6"/>
        <v>1</v>
      </c>
      <c r="N23" s="40" t="s">
        <v>491</v>
      </c>
    </row>
    <row r="24" spans="2:14" ht="30" customHeight="1" x14ac:dyDescent="0.3">
      <c r="B24" s="13" t="s">
        <v>63</v>
      </c>
      <c r="C24" s="40" t="str">
        <f>INDEX(WBS!$C$5:$C$44,MATCH($B24,WBS!$B$5:$B$44,0))</f>
        <v>Kiến trúc tích hợp</v>
      </c>
      <c r="D24" s="44">
        <f>SUMIF('Chi phí'!$B$5:$B$68,$B24,'Chi phí'!$J$5:$J$68)</f>
        <v>27.5</v>
      </c>
      <c r="E24" s="44">
        <f>SUMPRODUCT(('Chi phí'!$B$5:$B$68=$B24)*'Chi phí'!$J$5:$J$68*((($D$5&gt;='Chi phí'!$K$5:$K$68)*($D$5&lt;'Chi phí'!$L$5:$L$68)*($D$5-'Chi phí'!$K$5:$K$68+1)/('Chi phí'!$L$5:$L$68-'Chi phí'!$K$5:$K$68+1))+($D$5&gt;='Chi phí'!$L$5:$L$68)))</f>
        <v>27.5</v>
      </c>
      <c r="F24" s="63">
        <f t="shared" si="0"/>
        <v>1</v>
      </c>
      <c r="G24" s="66">
        <f t="shared" si="1"/>
        <v>1</v>
      </c>
      <c r="H24" s="44">
        <f t="shared" si="2"/>
        <v>27.5</v>
      </c>
      <c r="I24" s="58">
        <v>31</v>
      </c>
      <c r="J24" s="44">
        <f t="shared" si="3"/>
        <v>-3.5</v>
      </c>
      <c r="K24" s="44">
        <f t="shared" si="4"/>
        <v>0</v>
      </c>
      <c r="L24" s="74">
        <f t="shared" si="5"/>
        <v>0.88709677419354838</v>
      </c>
      <c r="M24" s="74">
        <f t="shared" si="6"/>
        <v>1</v>
      </c>
      <c r="N24" s="40" t="s">
        <v>495</v>
      </c>
    </row>
    <row r="25" spans="2:14" ht="19.95" customHeight="1" x14ac:dyDescent="0.3">
      <c r="B25" s="13" t="s">
        <v>70</v>
      </c>
      <c r="C25" s="40" t="str">
        <f>INDEX(WBS!$C$5:$C$44,MATCH($B25,WBS!$B$5:$B$44,0))</f>
        <v>RMS lõi</v>
      </c>
      <c r="D25" s="44">
        <f>SUMIF('Chi phí'!$B$5:$B$68,$B25,'Chi phí'!$J$5:$J$68)</f>
        <v>156</v>
      </c>
      <c r="E25" s="44">
        <f>SUMPRODUCT(('Chi phí'!$B$5:$B$68=$B25)*'Chi phí'!$J$5:$J$68*((($D$5&gt;='Chi phí'!$K$5:$K$68)*($D$5&lt;'Chi phí'!$L$5:$L$68)*($D$5-'Chi phí'!$K$5:$K$68+1)/('Chi phí'!$L$5:$L$68-'Chi phí'!$K$5:$K$68+1))+($D$5&gt;='Chi phí'!$L$5:$L$68)))</f>
        <v>128.75</v>
      </c>
      <c r="F25" s="63">
        <f t="shared" si="0"/>
        <v>0.82532051282051277</v>
      </c>
      <c r="G25" s="66">
        <f t="shared" si="1"/>
        <v>0.82532051282051277</v>
      </c>
      <c r="H25" s="44">
        <f t="shared" si="2"/>
        <v>128.75</v>
      </c>
      <c r="I25" s="58">
        <f>E25</f>
        <v>128.75</v>
      </c>
      <c r="J25" s="44">
        <f t="shared" si="3"/>
        <v>0</v>
      </c>
      <c r="K25" s="44">
        <f t="shared" si="4"/>
        <v>0</v>
      </c>
      <c r="L25" s="74">
        <f t="shared" si="5"/>
        <v>1</v>
      </c>
      <c r="M25" s="74">
        <f t="shared" si="6"/>
        <v>1</v>
      </c>
      <c r="N25" s="40" t="s">
        <v>491</v>
      </c>
    </row>
    <row r="26" spans="2:14" ht="30" customHeight="1" x14ac:dyDescent="0.3">
      <c r="B26" s="13" t="s">
        <v>77</v>
      </c>
      <c r="C26" s="40" t="str">
        <f>INDEX(WBS!$C$5:$C$44,MATCH($B26,WBS!$B$5:$B$44,0))</f>
        <v>Tích hợp ngoài (P9)</v>
      </c>
      <c r="D26" s="44">
        <f>SUMIF('Chi phí'!$B$5:$B$68,$B26,'Chi phí'!$J$5:$J$68)</f>
        <v>104</v>
      </c>
      <c r="E26" s="44">
        <f>SUMPRODUCT(('Chi phí'!$B$5:$B$68=$B26)*'Chi phí'!$J$5:$J$68*((($D$5&gt;='Chi phí'!$K$5:$K$68)*($D$5&lt;'Chi phí'!$L$5:$L$68)*($D$5-'Chi phí'!$K$5:$K$68+1)/('Chi phí'!$L$5:$L$68-'Chi phí'!$K$5:$K$68+1))+($D$5&gt;='Chi phí'!$L$5:$L$68)))</f>
        <v>104</v>
      </c>
      <c r="F26" s="63">
        <f t="shared" si="0"/>
        <v>1</v>
      </c>
      <c r="G26" s="66">
        <v>0.6</v>
      </c>
      <c r="H26" s="44">
        <f t="shared" si="2"/>
        <v>62.4</v>
      </c>
      <c r="I26" s="58">
        <v>112</v>
      </c>
      <c r="J26" s="44">
        <f t="shared" si="3"/>
        <v>-49.6</v>
      </c>
      <c r="K26" s="44">
        <f t="shared" si="4"/>
        <v>-41.6</v>
      </c>
      <c r="L26" s="74">
        <f t="shared" si="5"/>
        <v>0.55714285714285716</v>
      </c>
      <c r="M26" s="74">
        <f t="shared" si="6"/>
        <v>0.6</v>
      </c>
      <c r="N26" s="40" t="s">
        <v>496</v>
      </c>
    </row>
    <row r="27" spans="2:14" ht="19.95" customHeight="1" x14ac:dyDescent="0.3">
      <c r="B27" s="13" t="s">
        <v>81</v>
      </c>
      <c r="C27" s="40" t="str">
        <f>INDEX(WBS!$C$5:$C$44,MATCH($B27,WBS!$B$5:$B$44,0))</f>
        <v>Kênh online (P6)</v>
      </c>
      <c r="D27" s="44">
        <f>SUMIF('Chi phí'!$B$5:$B$68,$B27,'Chi phí'!$J$5:$J$68)</f>
        <v>52</v>
      </c>
      <c r="E27" s="44">
        <f>SUMPRODUCT(('Chi phí'!$B$5:$B$68=$B27)*'Chi phí'!$J$5:$J$68*((($D$5&gt;='Chi phí'!$K$5:$K$68)*($D$5&lt;'Chi phí'!$L$5:$L$68)*($D$5-'Chi phí'!$K$5:$K$68+1)/('Chi phí'!$L$5:$L$68-'Chi phí'!$K$5:$K$68+1))+($D$5&gt;='Chi phí'!$L$5:$L$68)))</f>
        <v>52</v>
      </c>
      <c r="F27" s="63">
        <f t="shared" si="0"/>
        <v>1</v>
      </c>
      <c r="G27" s="66">
        <f t="shared" ref="G27:G33" si="7">F27</f>
        <v>1</v>
      </c>
      <c r="H27" s="44">
        <f t="shared" si="2"/>
        <v>52</v>
      </c>
      <c r="I27" s="58">
        <f>E27</f>
        <v>52</v>
      </c>
      <c r="J27" s="44">
        <f t="shared" si="3"/>
        <v>0</v>
      </c>
      <c r="K27" s="44">
        <f t="shared" si="4"/>
        <v>0</v>
      </c>
      <c r="L27" s="74">
        <f t="shared" si="5"/>
        <v>1</v>
      </c>
      <c r="M27" s="74">
        <f t="shared" si="6"/>
        <v>1</v>
      </c>
      <c r="N27" s="40" t="s">
        <v>491</v>
      </c>
    </row>
    <row r="28" spans="2:14" ht="30" customHeight="1" x14ac:dyDescent="0.3">
      <c r="B28" s="13" t="s">
        <v>88</v>
      </c>
      <c r="C28" s="40" t="str">
        <f>INDEX(WBS!$C$5:$C$44,MATCH($B28,WBS!$B$5:$B$44,0))</f>
        <v>Thiết bị đợt 1 (pilot)</v>
      </c>
      <c r="D28" s="44">
        <f>SUMIF('Chi phí'!$B$5:$B$68,$B28,'Chi phí'!$J$5:$J$68)</f>
        <v>118</v>
      </c>
      <c r="E28" s="44">
        <f>SUMPRODUCT(('Chi phí'!$B$5:$B$68=$B28)*'Chi phí'!$J$5:$J$68*((($D$5&gt;='Chi phí'!$K$5:$K$68)*($D$5&lt;'Chi phí'!$L$5:$L$68)*($D$5-'Chi phí'!$K$5:$K$68+1)/('Chi phí'!$L$5:$L$68-'Chi phí'!$K$5:$K$68+1))+($D$5&gt;='Chi phí'!$L$5:$L$68)))</f>
        <v>118</v>
      </c>
      <c r="F28" s="63">
        <f t="shared" si="0"/>
        <v>1</v>
      </c>
      <c r="G28" s="66">
        <f t="shared" si="7"/>
        <v>1</v>
      </c>
      <c r="H28" s="44">
        <f t="shared" si="2"/>
        <v>118</v>
      </c>
      <c r="I28" s="58">
        <v>123</v>
      </c>
      <c r="J28" s="44">
        <f t="shared" si="3"/>
        <v>-5</v>
      </c>
      <c r="K28" s="44">
        <f t="shared" si="4"/>
        <v>0</v>
      </c>
      <c r="L28" s="74">
        <f t="shared" si="5"/>
        <v>0.95934959349593496</v>
      </c>
      <c r="M28" s="74">
        <f t="shared" si="6"/>
        <v>1</v>
      </c>
      <c r="N28" s="40" t="s">
        <v>497</v>
      </c>
    </row>
    <row r="29" spans="2:14" ht="19.95" customHeight="1" x14ac:dyDescent="0.3">
      <c r="B29" s="13" t="s">
        <v>92</v>
      </c>
      <c r="C29" s="40" t="str">
        <f>INDEX(WBS!$C$5:$C$44,MATCH($B29,WBS!$B$5:$B$44,0))</f>
        <v>Thiết bị đợt 2</v>
      </c>
      <c r="D29" s="44">
        <f>SUMIF('Chi phí'!$B$5:$B$68,$B29,'Chi phí'!$J$5:$J$68)</f>
        <v>380</v>
      </c>
      <c r="E29" s="44">
        <f>SUMPRODUCT(('Chi phí'!$B$5:$B$68=$B29)*'Chi phí'!$J$5:$J$68*((($D$5&gt;='Chi phí'!$K$5:$K$68)*($D$5&lt;'Chi phí'!$L$5:$L$68)*($D$5-'Chi phí'!$K$5:$K$68+1)/('Chi phí'!$L$5:$L$68-'Chi phí'!$K$5:$K$68+1))+($D$5&gt;='Chi phí'!$L$5:$L$68)))</f>
        <v>76.000000000000014</v>
      </c>
      <c r="F29" s="63">
        <f t="shared" si="0"/>
        <v>0.20000000000000004</v>
      </c>
      <c r="G29" s="66">
        <f t="shared" si="7"/>
        <v>0.20000000000000004</v>
      </c>
      <c r="H29" s="44">
        <f t="shared" si="2"/>
        <v>76.000000000000014</v>
      </c>
      <c r="I29" s="58">
        <f>E29</f>
        <v>76.000000000000014</v>
      </c>
      <c r="J29" s="44">
        <f t="shared" si="3"/>
        <v>0</v>
      </c>
      <c r="K29" s="44">
        <f t="shared" si="4"/>
        <v>0</v>
      </c>
      <c r="L29" s="74">
        <f t="shared" si="5"/>
        <v>1</v>
      </c>
      <c r="M29" s="74">
        <f t="shared" si="6"/>
        <v>1</v>
      </c>
      <c r="N29" s="40" t="s">
        <v>491</v>
      </c>
    </row>
    <row r="30" spans="2:14" ht="30" customHeight="1" x14ac:dyDescent="0.3">
      <c r="B30" s="13" t="s">
        <v>99</v>
      </c>
      <c r="C30" s="40" t="str">
        <f>INDEX(WBS!$C$5:$C$44,MATCH($B30,WBS!$B$5:$B$44,0))</f>
        <v>Thực đơn, công thức</v>
      </c>
      <c r="D30" s="44">
        <f>SUMIF('Chi phí'!$B$5:$B$68,$B30,'Chi phí'!$J$5:$J$68)</f>
        <v>12</v>
      </c>
      <c r="E30" s="44">
        <f>SUMPRODUCT(('Chi phí'!$B$5:$B$68=$B30)*'Chi phí'!$J$5:$J$68*((($D$5&gt;='Chi phí'!$K$5:$K$68)*($D$5&lt;'Chi phí'!$L$5:$L$68)*($D$5-'Chi phí'!$K$5:$K$68+1)/('Chi phí'!$L$5:$L$68-'Chi phí'!$K$5:$K$68+1))+($D$5&gt;='Chi phí'!$L$5:$L$68)))</f>
        <v>12</v>
      </c>
      <c r="F30" s="63">
        <f t="shared" si="0"/>
        <v>1</v>
      </c>
      <c r="G30" s="66">
        <f t="shared" si="7"/>
        <v>1</v>
      </c>
      <c r="H30" s="44">
        <f t="shared" si="2"/>
        <v>12</v>
      </c>
      <c r="I30" s="58">
        <v>14</v>
      </c>
      <c r="J30" s="44">
        <f t="shared" si="3"/>
        <v>-2</v>
      </c>
      <c r="K30" s="44">
        <f t="shared" si="4"/>
        <v>0</v>
      </c>
      <c r="L30" s="74">
        <f t="shared" si="5"/>
        <v>0.8571428571428571</v>
      </c>
      <c r="M30" s="74">
        <f t="shared" si="6"/>
        <v>1</v>
      </c>
      <c r="N30" s="40" t="s">
        <v>498</v>
      </c>
    </row>
    <row r="31" spans="2:14" ht="19.95" customHeight="1" x14ac:dyDescent="0.3">
      <c r="B31" s="13" t="s">
        <v>103</v>
      </c>
      <c r="C31" s="40" t="str">
        <f>INDEX(WBS!$C$5:$C$44,MATCH($B31,WBS!$B$5:$B$44,0))</f>
        <v>Khách hàng, tồn kho</v>
      </c>
      <c r="D31" s="44">
        <f>SUMIF('Chi phí'!$B$5:$B$68,$B31,'Chi phí'!$J$5:$J$68)</f>
        <v>8</v>
      </c>
      <c r="E31" s="44">
        <f>SUMPRODUCT(('Chi phí'!$B$5:$B$68=$B31)*'Chi phí'!$J$5:$J$68*((($D$5&gt;='Chi phí'!$K$5:$K$68)*($D$5&lt;'Chi phí'!$L$5:$L$68)*($D$5-'Chi phí'!$K$5:$K$68+1)/('Chi phí'!$L$5:$L$68-'Chi phí'!$K$5:$K$68+1))+($D$5&gt;='Chi phí'!$L$5:$L$68)))</f>
        <v>2.6666666666666665</v>
      </c>
      <c r="F31" s="63">
        <f t="shared" si="0"/>
        <v>0.33333333333333331</v>
      </c>
      <c r="G31" s="66">
        <f t="shared" si="7"/>
        <v>0.33333333333333331</v>
      </c>
      <c r="H31" s="44">
        <f t="shared" si="2"/>
        <v>2.6666666666666665</v>
      </c>
      <c r="I31" s="58">
        <f>E31</f>
        <v>2.6666666666666665</v>
      </c>
      <c r="J31" s="44">
        <f t="shared" si="3"/>
        <v>0</v>
      </c>
      <c r="K31" s="44">
        <f t="shared" si="4"/>
        <v>0</v>
      </c>
      <c r="L31" s="74">
        <f t="shared" si="5"/>
        <v>1</v>
      </c>
      <c r="M31" s="74">
        <f t="shared" si="6"/>
        <v>1</v>
      </c>
      <c r="N31" s="40" t="s">
        <v>491</v>
      </c>
    </row>
    <row r="32" spans="2:14" ht="19.95" customHeight="1" x14ac:dyDescent="0.3">
      <c r="B32" s="13" t="s">
        <v>121</v>
      </c>
      <c r="C32" s="40" t="str">
        <f>INDEX(WBS!$C$5:$C$44,MATCH($B32,WBS!$B$5:$B$44,0))</f>
        <v>Tài liệu, trainer</v>
      </c>
      <c r="D32" s="44">
        <f>SUMIF('Chi phí'!$B$5:$B$68,$B32,'Chi phí'!$J$5:$J$68)</f>
        <v>43</v>
      </c>
      <c r="E32" s="44">
        <f>SUMPRODUCT(('Chi phí'!$B$5:$B$68=$B32)*'Chi phí'!$J$5:$J$68*((($D$5&gt;='Chi phí'!$K$5:$K$68)*($D$5&lt;'Chi phí'!$L$5:$L$68)*($D$5-'Chi phí'!$K$5:$K$68+1)/('Chi phí'!$L$5:$L$68-'Chi phí'!$K$5:$K$68+1))+($D$5&gt;='Chi phí'!$L$5:$L$68)))</f>
        <v>28.666666666666664</v>
      </c>
      <c r="F32" s="63">
        <f t="shared" si="0"/>
        <v>0.66666666666666663</v>
      </c>
      <c r="G32" s="66">
        <f t="shared" si="7"/>
        <v>0.66666666666666663</v>
      </c>
      <c r="H32" s="44">
        <f t="shared" si="2"/>
        <v>28.666666666666664</v>
      </c>
      <c r="I32" s="58">
        <f>E32</f>
        <v>28.666666666666664</v>
      </c>
      <c r="J32" s="44">
        <f t="shared" si="3"/>
        <v>0</v>
      </c>
      <c r="K32" s="44">
        <f t="shared" si="4"/>
        <v>0</v>
      </c>
      <c r="L32" s="74">
        <f t="shared" si="5"/>
        <v>1</v>
      </c>
      <c r="M32" s="74">
        <f t="shared" si="6"/>
        <v>1</v>
      </c>
      <c r="N32" s="40" t="s">
        <v>491</v>
      </c>
    </row>
    <row r="33" spans="2:14" ht="19.95" customHeight="1" x14ac:dyDescent="0.3">
      <c r="B33" s="13" t="s">
        <v>179</v>
      </c>
      <c r="C33" s="40" t="s">
        <v>344</v>
      </c>
      <c r="D33" s="44">
        <f>SUMIF('Chi phí'!$B$5:$B$68,$B33,'Chi phí'!$J$5:$J$68)</f>
        <v>60</v>
      </c>
      <c r="E33" s="44">
        <f>SUMPRODUCT(('Chi phí'!$B$5:$B$68=$B33)*'Chi phí'!$J$5:$J$68*((($D$5&gt;='Chi phí'!$K$5:$K$68)*($D$5&lt;'Chi phí'!$L$5:$L$68)*($D$5-'Chi phí'!$K$5:$K$68+1)/('Chi phí'!$L$5:$L$68-'Chi phí'!$K$5:$K$68+1))+($D$5&gt;='Chi phí'!$L$5:$L$68)))</f>
        <v>34.5</v>
      </c>
      <c r="F33" s="63">
        <f t="shared" si="0"/>
        <v>0.57499999999999996</v>
      </c>
      <c r="G33" s="66">
        <f t="shared" si="7"/>
        <v>0.57499999999999996</v>
      </c>
      <c r="H33" s="44">
        <f t="shared" si="2"/>
        <v>34.5</v>
      </c>
      <c r="I33" s="58">
        <f>E33</f>
        <v>34.5</v>
      </c>
      <c r="J33" s="44">
        <f t="shared" si="3"/>
        <v>0</v>
      </c>
      <c r="K33" s="44">
        <f t="shared" si="4"/>
        <v>0</v>
      </c>
      <c r="L33" s="74">
        <f t="shared" si="5"/>
        <v>1</v>
      </c>
      <c r="M33" s="74">
        <f t="shared" si="6"/>
        <v>1</v>
      </c>
      <c r="N33" s="40" t="s">
        <v>499</v>
      </c>
    </row>
    <row r="34" spans="2:14" ht="19.95" customHeight="1" x14ac:dyDescent="0.3">
      <c r="B34" s="13" t="s">
        <v>500</v>
      </c>
      <c r="C34" s="40" t="s">
        <v>501</v>
      </c>
      <c r="D34" s="44">
        <f>$D$8-SUM(D16:D33)</f>
        <v>202.5</v>
      </c>
      <c r="E34" s="13"/>
      <c r="F34" s="13"/>
      <c r="G34" s="13"/>
      <c r="H34" s="13"/>
      <c r="I34" s="13"/>
      <c r="J34" s="13"/>
      <c r="K34" s="13"/>
      <c r="L34" s="13"/>
      <c r="M34" s="13"/>
      <c r="N34" s="40" t="s">
        <v>502</v>
      </c>
    </row>
    <row r="35" spans="2:14" ht="22.05" customHeight="1" x14ac:dyDescent="0.3">
      <c r="B35" s="13"/>
      <c r="C35" s="45" t="s">
        <v>503</v>
      </c>
      <c r="D35" s="48">
        <f>SUM(D16:D34)</f>
        <v>1360</v>
      </c>
      <c r="E35" s="48">
        <f>SUM(E16:E33)</f>
        <v>753.83333333333326</v>
      </c>
      <c r="F35" s="75">
        <f>E35/D35</f>
        <v>0.55428921568627443</v>
      </c>
      <c r="G35" s="75">
        <f>H35/D35</f>
        <v>0.52370098039215685</v>
      </c>
      <c r="H35" s="48">
        <f>SUM(H16:H33)</f>
        <v>712.23333333333323</v>
      </c>
      <c r="I35" s="48">
        <f>SUM(I16:I33)</f>
        <v>776.83333333333326</v>
      </c>
      <c r="J35" s="48">
        <f>H35-I35</f>
        <v>-64.600000000000023</v>
      </c>
      <c r="K35" s="48">
        <f>H35-E35</f>
        <v>-41.600000000000023</v>
      </c>
      <c r="L35" s="76">
        <f>H35/I35</f>
        <v>0.91684187942501605</v>
      </c>
      <c r="M35" s="76">
        <f>H35/E35</f>
        <v>0.94481538801680298</v>
      </c>
      <c r="N35" s="39" t="str">
        <f>IF(ABS(E35-INDEX('Cost baseline'!$C$15:$N$15,1,2*($D$7-3)+1))&lt;0.001,"PV = lũy kế cost baseline tháng "&amp;$D$7&amp;": khớp","PV LỆCH cost baseline")</f>
        <v>PV = lũy kế cost baseline tháng 5: khớp</v>
      </c>
    </row>
    <row r="38" spans="2:14" x14ac:dyDescent="0.3">
      <c r="B38" s="109" t="s">
        <v>504</v>
      </c>
      <c r="C38" s="91"/>
      <c r="D38" s="2" t="s">
        <v>391</v>
      </c>
      <c r="E38" s="109" t="s">
        <v>448</v>
      </c>
      <c r="F38" s="91"/>
      <c r="G38" s="91"/>
      <c r="H38" s="91"/>
      <c r="I38" s="91"/>
      <c r="J38" s="91"/>
      <c r="K38" s="109" t="s">
        <v>505</v>
      </c>
      <c r="L38" s="91"/>
      <c r="M38" s="91"/>
      <c r="N38" s="91"/>
    </row>
    <row r="39" spans="2:14" ht="19.95" customHeight="1" x14ac:dyDescent="0.3">
      <c r="B39" s="102" t="s">
        <v>506</v>
      </c>
      <c r="C39" s="94"/>
      <c r="D39" s="57">
        <f>E35</f>
        <v>753.83333333333326</v>
      </c>
      <c r="E39" s="102" t="s">
        <v>507</v>
      </c>
      <c r="F39" s="93"/>
      <c r="G39" s="93"/>
      <c r="H39" s="93"/>
      <c r="I39" s="93"/>
      <c r="J39" s="94"/>
      <c r="K39" s="102" t="str">
        <f>"Công việc lẽ ra phải xong: "&amp;TEXT(D39/D35,"0.0%")&amp;" BAC"</f>
        <v>Công việc lẽ ra phải xong: 55.4% BAC</v>
      </c>
      <c r="L39" s="93"/>
      <c r="M39" s="93"/>
      <c r="N39" s="94"/>
    </row>
    <row r="40" spans="2:14" ht="19.95" customHeight="1" x14ac:dyDescent="0.3">
      <c r="B40" s="102" t="s">
        <v>508</v>
      </c>
      <c r="C40" s="94"/>
      <c r="D40" s="57">
        <f>H35</f>
        <v>712.23333333333323</v>
      </c>
      <c r="E40" s="102" t="s">
        <v>509</v>
      </c>
      <c r="F40" s="93"/>
      <c r="G40" s="93"/>
      <c r="H40" s="93"/>
      <c r="I40" s="93"/>
      <c r="J40" s="94"/>
      <c r="K40" s="102" t="str">
        <f>"Công việc thực sự xong: "&amp;TEXT(D40/D35,"0.0%")&amp;" BAC"</f>
        <v>Công việc thực sự xong: 52.4% BAC</v>
      </c>
      <c r="L40" s="93"/>
      <c r="M40" s="93"/>
      <c r="N40" s="94"/>
    </row>
    <row r="41" spans="2:14" ht="19.95" customHeight="1" x14ac:dyDescent="0.3">
      <c r="B41" s="102" t="s">
        <v>510</v>
      </c>
      <c r="C41" s="94"/>
      <c r="D41" s="57">
        <f>I35</f>
        <v>776.83333333333326</v>
      </c>
      <c r="E41" s="102" t="s">
        <v>511</v>
      </c>
      <c r="F41" s="93"/>
      <c r="G41" s="93"/>
      <c r="H41" s="93"/>
      <c r="I41" s="93"/>
      <c r="J41" s="94"/>
      <c r="K41" s="102" t="str">
        <f>"Đã chi: "&amp;TEXT(D41/D35,"0.0%")&amp;" BAC"</f>
        <v>Đã chi: 57.1% BAC</v>
      </c>
      <c r="L41" s="93"/>
      <c r="M41" s="93"/>
      <c r="N41" s="94"/>
    </row>
    <row r="42" spans="2:14" ht="19.95" customHeight="1" x14ac:dyDescent="0.3">
      <c r="B42" s="102" t="s">
        <v>480</v>
      </c>
      <c r="C42" s="94"/>
      <c r="D42" s="57">
        <f>D35</f>
        <v>1360</v>
      </c>
      <c r="E42" s="102" t="s">
        <v>512</v>
      </c>
      <c r="F42" s="93"/>
      <c r="G42" s="93"/>
      <c r="H42" s="93"/>
      <c r="I42" s="93"/>
      <c r="J42" s="94"/>
      <c r="K42" s="102"/>
      <c r="L42" s="93"/>
      <c r="M42" s="93"/>
      <c r="N42" s="94"/>
    </row>
    <row r="43" spans="2:14" ht="19.95" customHeight="1" x14ac:dyDescent="0.3">
      <c r="B43" s="102" t="s">
        <v>486</v>
      </c>
      <c r="C43" s="94"/>
      <c r="D43" s="57">
        <f>D40-D41</f>
        <v>-64.600000000000023</v>
      </c>
      <c r="E43" s="102" t="s">
        <v>513</v>
      </c>
      <c r="F43" s="93"/>
      <c r="G43" s="93"/>
      <c r="H43" s="93"/>
      <c r="I43" s="93"/>
      <c r="J43" s="94"/>
      <c r="K43" s="102" t="str">
        <f>IF(D43&lt;0,"Vượt chi phí ","Tiết kiệm ")&amp;TEXT(ABS(D43),"#,##0.0")&amp;" triệu đồng"</f>
        <v>Vượt chi phí 64.6 triệu đồng</v>
      </c>
      <c r="L43" s="93"/>
      <c r="M43" s="93"/>
      <c r="N43" s="94"/>
    </row>
    <row r="44" spans="2:14" ht="19.95" customHeight="1" x14ac:dyDescent="0.3">
      <c r="B44" s="102" t="s">
        <v>487</v>
      </c>
      <c r="C44" s="94"/>
      <c r="D44" s="57">
        <f>D40-D39</f>
        <v>-41.600000000000023</v>
      </c>
      <c r="E44" s="102" t="s">
        <v>514</v>
      </c>
      <c r="F44" s="93"/>
      <c r="G44" s="93"/>
      <c r="H44" s="93"/>
      <c r="I44" s="93"/>
      <c r="J44" s="94"/>
      <c r="K44" s="102" t="str">
        <f>IF(D44&lt;0,"Chậm tiến độ (giá trị ","Vượt tiến độ (giá trị ")&amp;TEXT(ABS(D44),"#,##0.0")&amp;" triệu đồng)"</f>
        <v>Chậm tiến độ (giá trị 41.6 triệu đồng)</v>
      </c>
      <c r="L44" s="93"/>
      <c r="M44" s="93"/>
      <c r="N44" s="94"/>
    </row>
    <row r="45" spans="2:14" ht="19.95" customHeight="1" x14ac:dyDescent="0.3">
      <c r="B45" s="111" t="s">
        <v>515</v>
      </c>
      <c r="C45" s="94"/>
      <c r="D45" s="71">
        <f>D40/D41</f>
        <v>0.91684187942501605</v>
      </c>
      <c r="E45" s="102" t="s">
        <v>516</v>
      </c>
      <c r="F45" s="93"/>
      <c r="G45" s="93"/>
      <c r="H45" s="93"/>
      <c r="I45" s="93"/>
      <c r="J45" s="94"/>
      <c r="K45" s="102" t="str">
        <f>"Mỗi 1.000 đồng chi tạo "&amp;TEXT(D45*1000,"#,##0")&amp;" đồng giá trị; "&amp;IF(D45&lt;$D$11,"dưới","đạt")&amp;" ngưỡng "&amp;TEXT($D$11,"0.00")</f>
        <v>Mỗi 1.000 đồng chi tạo 917 đồng giá trị; dưới ngưỡng 0.95</v>
      </c>
      <c r="L45" s="93"/>
      <c r="M45" s="93"/>
      <c r="N45" s="94"/>
    </row>
    <row r="46" spans="2:14" ht="19.95" customHeight="1" x14ac:dyDescent="0.3">
      <c r="B46" s="111" t="s">
        <v>517</v>
      </c>
      <c r="C46" s="94"/>
      <c r="D46" s="71">
        <f>D40/D39</f>
        <v>0.94481538801680298</v>
      </c>
      <c r="E46" s="102" t="s">
        <v>518</v>
      </c>
      <c r="F46" s="93"/>
      <c r="G46" s="93"/>
      <c r="H46" s="93"/>
      <c r="I46" s="93"/>
      <c r="J46" s="94"/>
      <c r="K46" s="102" t="str">
        <f>"Làm được "&amp;TEXT(D46,"0%")&amp;" khối lượng kế hoạch; "&amp;IF(D46&lt;$D$11,"dưới","đạt")&amp;" ngưỡng "&amp;TEXT($D$11,"0.00")</f>
        <v>Làm được 94% khối lượng kế hoạch; dưới ngưỡng 0.95</v>
      </c>
      <c r="L46" s="93"/>
      <c r="M46" s="93"/>
      <c r="N46" s="94"/>
    </row>
    <row r="47" spans="2:14" ht="19.95" customHeight="1" x14ac:dyDescent="0.3">
      <c r="B47" s="102" t="s">
        <v>519</v>
      </c>
      <c r="C47" s="94"/>
      <c r="D47" s="57">
        <f>D42-D40</f>
        <v>647.76666666666677</v>
      </c>
      <c r="E47" s="102" t="s">
        <v>520</v>
      </c>
      <c r="F47" s="93"/>
      <c r="G47" s="93"/>
      <c r="H47" s="93"/>
      <c r="I47" s="93"/>
      <c r="J47" s="94"/>
      <c r="K47" s="102"/>
      <c r="L47" s="93"/>
      <c r="M47" s="93"/>
      <c r="N47" s="94"/>
    </row>
    <row r="48" spans="2:14" ht="19.95" customHeight="1" x14ac:dyDescent="0.3">
      <c r="B48" s="111" t="s">
        <v>521</v>
      </c>
      <c r="C48" s="94"/>
      <c r="D48" s="56">
        <f>D41+D47</f>
        <v>1424.6</v>
      </c>
      <c r="E48" s="102" t="s">
        <v>522</v>
      </c>
      <c r="F48" s="93"/>
      <c r="G48" s="93"/>
      <c r="H48" s="93"/>
      <c r="I48" s="93"/>
      <c r="J48" s="94"/>
      <c r="K48" s="102"/>
      <c r="L48" s="93"/>
      <c r="M48" s="93"/>
      <c r="N48" s="94"/>
    </row>
    <row r="49" spans="2:14" ht="19.95" customHeight="1" x14ac:dyDescent="0.3">
      <c r="B49" s="102" t="s">
        <v>523</v>
      </c>
      <c r="C49" s="94"/>
      <c r="D49" s="57">
        <f>D42-D48</f>
        <v>-64.599999999999909</v>
      </c>
      <c r="E49" s="102" t="s">
        <v>524</v>
      </c>
      <c r="F49" s="93"/>
      <c r="G49" s="93"/>
      <c r="H49" s="93"/>
      <c r="I49" s="93"/>
      <c r="J49" s="94"/>
      <c r="K49" s="102"/>
      <c r="L49" s="93"/>
      <c r="M49" s="93"/>
      <c r="N49" s="94"/>
    </row>
    <row r="50" spans="2:14" ht="19.95" customHeight="1" x14ac:dyDescent="0.3">
      <c r="B50" s="102" t="s">
        <v>525</v>
      </c>
      <c r="C50" s="94"/>
      <c r="D50" s="57">
        <f>(D42-D40)/D45</f>
        <v>706.5195004758117</v>
      </c>
      <c r="E50" s="102" t="s">
        <v>526</v>
      </c>
      <c r="F50" s="93"/>
      <c r="G50" s="93"/>
      <c r="H50" s="93"/>
      <c r="I50" s="93"/>
      <c r="J50" s="94"/>
      <c r="K50" s="102"/>
      <c r="L50" s="93"/>
      <c r="M50" s="93"/>
      <c r="N50" s="94"/>
    </row>
    <row r="51" spans="2:14" ht="19.95" customHeight="1" x14ac:dyDescent="0.3">
      <c r="B51" s="111" t="s">
        <v>527</v>
      </c>
      <c r="C51" s="94"/>
      <c r="D51" s="56">
        <f>D41+D50</f>
        <v>1483.3528338091451</v>
      </c>
      <c r="E51" s="102" t="s">
        <v>528</v>
      </c>
      <c r="F51" s="93"/>
      <c r="G51" s="93"/>
      <c r="H51" s="93"/>
      <c r="I51" s="93"/>
      <c r="J51" s="94"/>
      <c r="K51" s="102"/>
      <c r="L51" s="93"/>
      <c r="M51" s="93"/>
      <c r="N51" s="94"/>
    </row>
    <row r="52" spans="2:14" ht="19.95" customHeight="1" x14ac:dyDescent="0.3">
      <c r="B52" s="102" t="s">
        <v>529</v>
      </c>
      <c r="C52" s="94"/>
      <c r="D52" s="57">
        <f>D42-D51</f>
        <v>-123.35283380914507</v>
      </c>
      <c r="E52" s="102" t="s">
        <v>524</v>
      </c>
      <c r="F52" s="93"/>
      <c r="G52" s="93"/>
      <c r="H52" s="93"/>
      <c r="I52" s="93"/>
      <c r="J52" s="94"/>
      <c r="K52" s="102"/>
      <c r="L52" s="93"/>
      <c r="M52" s="93"/>
      <c r="N52" s="94"/>
    </row>
    <row r="53" spans="2:14" ht="19.95" customHeight="1" x14ac:dyDescent="0.3">
      <c r="B53" s="102" t="s">
        <v>530</v>
      </c>
      <c r="C53" s="94"/>
      <c r="D53" s="57">
        <f>MAX(0,D48-D42)</f>
        <v>64.599999999999909</v>
      </c>
      <c r="E53" s="102" t="s">
        <v>531</v>
      </c>
      <c r="F53" s="93"/>
      <c r="G53" s="93"/>
      <c r="H53" s="93"/>
      <c r="I53" s="93"/>
      <c r="J53" s="94"/>
      <c r="K53" s="102"/>
      <c r="L53" s="93"/>
      <c r="M53" s="93"/>
      <c r="N53" s="94"/>
    </row>
    <row r="54" spans="2:14" ht="19.95" customHeight="1" x14ac:dyDescent="0.3">
      <c r="B54" s="102" t="s">
        <v>532</v>
      </c>
      <c r="C54" s="94"/>
      <c r="D54" s="57">
        <f>$D$10-D53</f>
        <v>75.400000000000091</v>
      </c>
      <c r="E54" s="102" t="s">
        <v>533</v>
      </c>
      <c r="F54" s="93"/>
      <c r="G54" s="93"/>
      <c r="H54" s="93"/>
      <c r="I54" s="93"/>
      <c r="J54" s="94"/>
      <c r="K54" s="102"/>
      <c r="L54" s="93"/>
      <c r="M54" s="93"/>
      <c r="N54" s="94"/>
    </row>
    <row r="55" spans="2:14" ht="19.95" customHeight="1" x14ac:dyDescent="0.3">
      <c r="B55" s="102" t="s">
        <v>534</v>
      </c>
      <c r="C55" s="94"/>
      <c r="D55" s="57">
        <f>MAX(0,D51-D42)</f>
        <v>123.35283380914507</v>
      </c>
      <c r="E55" s="102" t="s">
        <v>531</v>
      </c>
      <c r="F55" s="93"/>
      <c r="G55" s="93"/>
      <c r="H55" s="93"/>
      <c r="I55" s="93"/>
      <c r="J55" s="94"/>
      <c r="K55" s="102"/>
      <c r="L55" s="93"/>
      <c r="M55" s="93"/>
      <c r="N55" s="94"/>
    </row>
    <row r="56" spans="2:14" ht="19.95" customHeight="1" x14ac:dyDescent="0.3">
      <c r="B56" s="102" t="s">
        <v>535</v>
      </c>
      <c r="C56" s="94"/>
      <c r="D56" s="57">
        <f>$D$10-D55</f>
        <v>16.647166190854932</v>
      </c>
      <c r="E56" s="102" t="s">
        <v>533</v>
      </c>
      <c r="F56" s="93"/>
      <c r="G56" s="93"/>
      <c r="H56" s="93"/>
      <c r="I56" s="93"/>
      <c r="J56" s="94"/>
      <c r="K56" s="102"/>
      <c r="L56" s="93"/>
      <c r="M56" s="93"/>
      <c r="N56" s="94"/>
    </row>
    <row r="57" spans="2:14" ht="31.95" customHeight="1" x14ac:dyDescent="0.3">
      <c r="B57" s="102" t="s">
        <v>536</v>
      </c>
      <c r="C57" s="94"/>
      <c r="D57" s="77" t="str">
        <f>IF(D45&lt;$D$12,"ĐỎ",IF(D45&lt;$D$11,"VÀNG","Đạt"))</f>
        <v>VÀNG</v>
      </c>
      <c r="E57" s="102" t="s">
        <v>537</v>
      </c>
      <c r="F57" s="93"/>
      <c r="G57" s="93"/>
      <c r="H57" s="93"/>
      <c r="I57" s="93"/>
      <c r="J57" s="94"/>
      <c r="K57" s="102"/>
      <c r="L57" s="93"/>
      <c r="M57" s="93"/>
      <c r="N57" s="94"/>
    </row>
    <row r="58" spans="2:14" ht="31.95" customHeight="1" x14ac:dyDescent="0.3">
      <c r="B58" s="102" t="s">
        <v>538</v>
      </c>
      <c r="C58" s="94"/>
      <c r="D58" s="77" t="str">
        <f>IF(D46&lt;$D$12,"ĐỎ",IF(D46&lt;$D$11,"VÀNG","Đạt"))</f>
        <v>VÀNG</v>
      </c>
      <c r="E58" s="102" t="s">
        <v>539</v>
      </c>
      <c r="F58" s="93"/>
      <c r="G58" s="93"/>
      <c r="H58" s="93"/>
      <c r="I58" s="93"/>
      <c r="J58" s="94"/>
      <c r="K58" s="102"/>
      <c r="L58" s="93"/>
      <c r="M58" s="93"/>
      <c r="N58" s="94"/>
    </row>
    <row r="59" spans="2:14" ht="31.95" customHeight="1" x14ac:dyDescent="0.3">
      <c r="B59" s="102" t="s">
        <v>540</v>
      </c>
      <c r="C59" s="94"/>
      <c r="D59" s="77" t="str">
        <f>IF(D51&gt;$D$9,"ĐỎ","Đạt")</f>
        <v>Đạt</v>
      </c>
      <c r="E59" s="102" t="s">
        <v>541</v>
      </c>
      <c r="F59" s="93"/>
      <c r="G59" s="93"/>
      <c r="H59" s="93"/>
      <c r="I59" s="93"/>
      <c r="J59" s="94"/>
      <c r="K59" s="102"/>
      <c r="L59" s="93"/>
      <c r="M59" s="93"/>
      <c r="N59" s="94"/>
    </row>
    <row r="62" spans="2:14" x14ac:dyDescent="0.3">
      <c r="B62" s="109" t="s">
        <v>542</v>
      </c>
      <c r="C62" s="91"/>
      <c r="D62" s="2" t="s">
        <v>391</v>
      </c>
      <c r="E62" s="109" t="s">
        <v>543</v>
      </c>
      <c r="F62" s="91"/>
      <c r="G62" s="91"/>
      <c r="H62" s="91"/>
      <c r="I62" s="91"/>
      <c r="J62" s="91"/>
      <c r="K62" s="91"/>
      <c r="L62" s="91"/>
      <c r="M62" s="91"/>
      <c r="N62" s="91"/>
    </row>
    <row r="63" spans="2:14" ht="19.95" customHeight="1" x14ac:dyDescent="0.3">
      <c r="B63" s="102" t="s">
        <v>544</v>
      </c>
      <c r="C63" s="94"/>
      <c r="D63" s="78">
        <f>INDEX('Hoạt động, lịch'!$M$5:$M$26,MATCH("F",'Hoạt động, lịch'!$B$5:$B$26,0))-INDEX('Hoạt động, lịch'!$L$5:$L$26,MATCH("F",'Hoạt động, lịch'!$B$5:$B$26,0))</f>
        <v>5</v>
      </c>
      <c r="E63" s="102" t="s">
        <v>545</v>
      </c>
      <c r="F63" s="93"/>
      <c r="G63" s="93"/>
      <c r="H63" s="93"/>
      <c r="I63" s="93"/>
      <c r="J63" s="93"/>
      <c r="K63" s="93"/>
      <c r="L63" s="93"/>
      <c r="M63" s="93"/>
      <c r="N63" s="94"/>
    </row>
    <row r="64" spans="2:14" ht="19.95" customHeight="1" x14ac:dyDescent="0.3">
      <c r="B64" s="102" t="s">
        <v>546</v>
      </c>
      <c r="C64" s="94"/>
      <c r="D64" s="78">
        <f>(1-G26)*D63</f>
        <v>2</v>
      </c>
      <c r="E64" s="102" t="s">
        <v>547</v>
      </c>
      <c r="F64" s="93"/>
      <c r="G64" s="93"/>
      <c r="H64" s="93"/>
      <c r="I64" s="93"/>
      <c r="J64" s="93"/>
      <c r="K64" s="93"/>
      <c r="L64" s="93"/>
      <c r="M64" s="93"/>
      <c r="N64" s="94"/>
    </row>
    <row r="65" spans="2:14" ht="19.95" customHeight="1" x14ac:dyDescent="0.3">
      <c r="B65" s="102" t="s">
        <v>548</v>
      </c>
      <c r="C65" s="94"/>
      <c r="D65" s="60">
        <f>D64*5</f>
        <v>10</v>
      </c>
      <c r="E65" s="102" t="s">
        <v>549</v>
      </c>
      <c r="F65" s="93"/>
      <c r="G65" s="93"/>
      <c r="H65" s="93"/>
      <c r="I65" s="93"/>
      <c r="J65" s="93"/>
      <c r="K65" s="93"/>
      <c r="L65" s="93"/>
      <c r="M65" s="93"/>
      <c r="N65" s="94"/>
    </row>
    <row r="66" spans="2:14" ht="19.95" customHeight="1" x14ac:dyDescent="0.3">
      <c r="B66" s="102" t="s">
        <v>550</v>
      </c>
      <c r="C66" s="94"/>
      <c r="D66" s="78">
        <f>$D$5+D64</f>
        <v>15</v>
      </c>
      <c r="E66" s="102" t="s">
        <v>551</v>
      </c>
      <c r="F66" s="93"/>
      <c r="G66" s="93"/>
      <c r="H66" s="93"/>
      <c r="I66" s="93"/>
      <c r="J66" s="93"/>
      <c r="K66" s="93"/>
      <c r="L66" s="93"/>
      <c r="M66" s="93"/>
      <c r="N66" s="94"/>
    </row>
    <row r="67" spans="2:14" ht="19.95" customHeight="1" x14ac:dyDescent="0.3">
      <c r="B67" s="102" t="s">
        <v>552</v>
      </c>
      <c r="C67" s="94"/>
      <c r="D67" s="60">
        <f>INDEX('Hoạt động, lịch'!$O$5:$O$26,MATCH("F",'Hoạt động, lịch'!$B$5:$B$26,0))</f>
        <v>14</v>
      </c>
      <c r="E67" s="102" t="s">
        <v>553</v>
      </c>
      <c r="F67" s="93"/>
      <c r="G67" s="93"/>
      <c r="H67" s="93"/>
      <c r="I67" s="93"/>
      <c r="J67" s="93"/>
      <c r="K67" s="93"/>
      <c r="L67" s="93"/>
      <c r="M67" s="93"/>
      <c r="N67" s="94"/>
    </row>
    <row r="68" spans="2:14" ht="19.95" customHeight="1" x14ac:dyDescent="0.3">
      <c r="B68" s="102" t="s">
        <v>554</v>
      </c>
      <c r="C68" s="94"/>
      <c r="D68" s="79">
        <f>MAX(0,D66-D67)</f>
        <v>1</v>
      </c>
      <c r="E68" s="102" t="s">
        <v>555</v>
      </c>
      <c r="F68" s="93"/>
      <c r="G68" s="93"/>
      <c r="H68" s="93"/>
      <c r="I68" s="93"/>
      <c r="J68" s="93"/>
      <c r="K68" s="93"/>
      <c r="L68" s="93"/>
      <c r="M68" s="93"/>
      <c r="N68" s="94"/>
    </row>
    <row r="69" spans="2:14" ht="19.95" customHeight="1" x14ac:dyDescent="0.3">
      <c r="B69" s="102" t="s">
        <v>556</v>
      </c>
      <c r="C69" s="94"/>
      <c r="D69" s="80">
        <f>INDEX('Hoạt động, lịch'!$U$5:$U$26,MATCH("S",'Hoạt động, lịch'!$B$5:$B$26,0))+7*D68</f>
        <v>46633</v>
      </c>
      <c r="E69" s="102" t="s">
        <v>557</v>
      </c>
      <c r="F69" s="93"/>
      <c r="G69" s="93"/>
      <c r="H69" s="93"/>
      <c r="I69" s="93"/>
      <c r="J69" s="93"/>
      <c r="K69" s="93"/>
      <c r="L69" s="93"/>
      <c r="M69" s="93"/>
      <c r="N69" s="94"/>
    </row>
    <row r="70" spans="2:14" ht="19.95" customHeight="1" x14ac:dyDescent="0.3">
      <c r="B70" s="102" t="s">
        <v>558</v>
      </c>
      <c r="C70" s="94"/>
      <c r="D70" s="60">
        <f>2*5</f>
        <v>10</v>
      </c>
      <c r="E70" s="102" t="s">
        <v>559</v>
      </c>
      <c r="F70" s="93"/>
      <c r="G70" s="93"/>
      <c r="H70" s="93"/>
      <c r="I70" s="93"/>
      <c r="J70" s="93"/>
      <c r="K70" s="93"/>
      <c r="L70" s="93"/>
      <c r="M70" s="93"/>
      <c r="N70" s="94"/>
    </row>
    <row r="71" spans="2:14" ht="19.95" customHeight="1" x14ac:dyDescent="0.3">
      <c r="B71" s="102" t="s">
        <v>560</v>
      </c>
      <c r="C71" s="94"/>
      <c r="D71" s="78">
        <f>$D$5+D65/D70</f>
        <v>14</v>
      </c>
      <c r="E71" s="102" t="s">
        <v>561</v>
      </c>
      <c r="F71" s="93"/>
      <c r="G71" s="93"/>
      <c r="H71" s="93"/>
      <c r="I71" s="93"/>
      <c r="J71" s="93"/>
      <c r="K71" s="93"/>
      <c r="L71" s="93"/>
      <c r="M71" s="93"/>
      <c r="N71" s="94"/>
    </row>
    <row r="72" spans="2:14" ht="19.95" customHeight="1" x14ac:dyDescent="0.3">
      <c r="B72" s="102" t="s">
        <v>562</v>
      </c>
      <c r="C72" s="94"/>
      <c r="D72" s="79">
        <f>MAX(0,D71-D67)</f>
        <v>0</v>
      </c>
      <c r="E72" s="102" t="s">
        <v>563</v>
      </c>
      <c r="F72" s="93"/>
      <c r="G72" s="93"/>
      <c r="H72" s="93"/>
      <c r="I72" s="93"/>
      <c r="J72" s="93"/>
      <c r="K72" s="93"/>
      <c r="L72" s="93"/>
      <c r="M72" s="93"/>
      <c r="N72" s="94"/>
    </row>
    <row r="73" spans="2:14" ht="19.95" customHeight="1" x14ac:dyDescent="0.3">
      <c r="B73" s="102" t="s">
        <v>564</v>
      </c>
      <c r="C73" s="94"/>
      <c r="D73" s="57">
        <f>1*INDEX('Nguồn lực'!$D$5:$D$8,MATCH("TV",'Nguồn lực'!$B$5:$B$8,0))</f>
        <v>2</v>
      </c>
      <c r="E73" s="102" t="s">
        <v>565</v>
      </c>
      <c r="F73" s="93"/>
      <c r="G73" s="93"/>
      <c r="H73" s="93"/>
      <c r="I73" s="93"/>
      <c r="J73" s="93"/>
      <c r="K73" s="93"/>
      <c r="L73" s="93"/>
      <c r="M73" s="93"/>
      <c r="N73" s="94"/>
    </row>
    <row r="76" spans="2:14" x14ac:dyDescent="0.3">
      <c r="B76" s="90" t="s">
        <v>566</v>
      </c>
      <c r="C76" s="91"/>
      <c r="D76" s="2" t="s">
        <v>567</v>
      </c>
      <c r="E76" s="2" t="s">
        <v>568</v>
      </c>
      <c r="F76" s="2" t="s">
        <v>569</v>
      </c>
      <c r="G76" s="2" t="s">
        <v>488</v>
      </c>
      <c r="H76" s="2" t="s">
        <v>489</v>
      </c>
      <c r="I76" s="109" t="s">
        <v>570</v>
      </c>
      <c r="J76" s="91"/>
      <c r="K76" s="91"/>
      <c r="L76" s="91"/>
      <c r="M76" s="91"/>
      <c r="N76" s="91"/>
    </row>
    <row r="77" spans="2:14" x14ac:dyDescent="0.3">
      <c r="B77" s="110">
        <v>3</v>
      </c>
      <c r="C77" s="94"/>
      <c r="D77" s="44">
        <f>INDEX('Cost baseline'!$C$15:$N$15,1,2*(B77-3)+1)</f>
        <v>110.4551282051282</v>
      </c>
      <c r="E77" s="58">
        <f>D77</f>
        <v>110.4551282051282</v>
      </c>
      <c r="F77" s="58">
        <v>111.955128</v>
      </c>
      <c r="G77" s="74">
        <f>E77/F77</f>
        <v>0.98660177678621563</v>
      </c>
      <c r="H77" s="74">
        <f>E77/D77</f>
        <v>1</v>
      </c>
      <c r="I77" s="102" t="s">
        <v>571</v>
      </c>
      <c r="J77" s="93"/>
      <c r="K77" s="93"/>
      <c r="L77" s="93"/>
      <c r="M77" s="93"/>
      <c r="N77" s="94"/>
    </row>
    <row r="78" spans="2:14" x14ac:dyDescent="0.3">
      <c r="B78" s="110">
        <v>4</v>
      </c>
      <c r="C78" s="94"/>
      <c r="D78" s="44">
        <f>INDEX('Cost baseline'!$C$15:$N$15,1,2*(B78-3)+1)</f>
        <v>307.56923076923078</v>
      </c>
      <c r="E78" s="58">
        <f>D78</f>
        <v>307.56923076923078</v>
      </c>
      <c r="F78" s="58">
        <v>315.569231</v>
      </c>
      <c r="G78" s="74">
        <f>E78/F78</f>
        <v>0.97464898524669785</v>
      </c>
      <c r="H78" s="74">
        <f>E78/D78</f>
        <v>1</v>
      </c>
      <c r="I78" s="102" t="s">
        <v>572</v>
      </c>
      <c r="J78" s="93"/>
      <c r="K78" s="93"/>
      <c r="L78" s="93"/>
      <c r="M78" s="93"/>
      <c r="N78" s="94"/>
    </row>
    <row r="79" spans="2:14" x14ac:dyDescent="0.3">
      <c r="B79" s="110">
        <v>5</v>
      </c>
      <c r="C79" s="94"/>
      <c r="D79" s="44">
        <f>INDEX('Cost baseline'!$C$15:$N$15,1,2*(B79-3)+1)</f>
        <v>753.83333333333337</v>
      </c>
      <c r="E79" s="44">
        <f>H35</f>
        <v>712.23333333333323</v>
      </c>
      <c r="F79" s="44">
        <f>I35</f>
        <v>776.83333333333326</v>
      </c>
      <c r="G79" s="74">
        <f>E79/F79</f>
        <v>0.91684187942501605</v>
      </c>
      <c r="H79" s="74">
        <f>E79/D79</f>
        <v>0.94481538801680287</v>
      </c>
      <c r="I79" s="102" t="s">
        <v>573</v>
      </c>
      <c r="J79" s="93"/>
      <c r="K79" s="93"/>
      <c r="L79" s="93"/>
      <c r="M79" s="93"/>
      <c r="N79" s="94"/>
    </row>
    <row r="82" spans="2:9" x14ac:dyDescent="0.3">
      <c r="B82" s="64" t="s">
        <v>574</v>
      </c>
    </row>
    <row r="83" spans="2:9" x14ac:dyDescent="0.3">
      <c r="C83" s="40" t="s">
        <v>379</v>
      </c>
      <c r="D83" s="40" t="s">
        <v>380</v>
      </c>
      <c r="E83" s="40" t="s">
        <v>381</v>
      </c>
      <c r="F83" s="40" t="s">
        <v>382</v>
      </c>
      <c r="G83" s="40" t="s">
        <v>383</v>
      </c>
      <c r="H83" s="40" t="s">
        <v>384</v>
      </c>
      <c r="I83" s="40" t="s">
        <v>385</v>
      </c>
    </row>
    <row r="84" spans="2:9" x14ac:dyDescent="0.3">
      <c r="C84" s="40" t="s">
        <v>575</v>
      </c>
      <c r="D84" s="42">
        <f>INDEX('Cost baseline'!$C$15:$N$15,1,1)</f>
        <v>110.4551282051282</v>
      </c>
      <c r="E84" s="42">
        <f>INDEX('Cost baseline'!$C$15:$N$15,1,3)</f>
        <v>307.56923076923078</v>
      </c>
      <c r="F84" s="42">
        <f>INDEX('Cost baseline'!$C$15:$N$15,1,5)</f>
        <v>753.83333333333337</v>
      </c>
      <c r="G84" s="42">
        <f>INDEX('Cost baseline'!$C$15:$N$15,1,7)</f>
        <v>1223.3384615384616</v>
      </c>
      <c r="H84" s="42">
        <f>INDEX('Cost baseline'!$C$15:$N$15,1,9)</f>
        <v>1289.1692307692308</v>
      </c>
      <c r="I84" s="42">
        <f>INDEX('Cost baseline'!$C$15:$N$15,1,11)</f>
        <v>1360</v>
      </c>
    </row>
    <row r="85" spans="2:9" x14ac:dyDescent="0.3">
      <c r="C85" s="40" t="s">
        <v>576</v>
      </c>
      <c r="D85" s="42">
        <f>E77</f>
        <v>110.4551282051282</v>
      </c>
      <c r="E85" s="42">
        <f>E78</f>
        <v>307.56923076923078</v>
      </c>
      <c r="F85" s="42">
        <f>E79</f>
        <v>712.23333333333323</v>
      </c>
      <c r="G85" s="13"/>
      <c r="H85" s="13"/>
      <c r="I85" s="13"/>
    </row>
    <row r="86" spans="2:9" x14ac:dyDescent="0.3">
      <c r="C86" s="40" t="s">
        <v>577</v>
      </c>
      <c r="D86" s="42">
        <f>F77</f>
        <v>111.955128</v>
      </c>
      <c r="E86" s="42">
        <f>F78</f>
        <v>315.569231</v>
      </c>
      <c r="F86" s="42">
        <f>F79</f>
        <v>776.83333333333326</v>
      </c>
      <c r="G86" s="13"/>
      <c r="H86" s="13"/>
      <c r="I86" s="13"/>
    </row>
    <row r="87" spans="2:9" x14ac:dyDescent="0.3">
      <c r="C87" s="40" t="s">
        <v>521</v>
      </c>
      <c r="D87" s="13"/>
      <c r="E87" s="13"/>
      <c r="F87" s="42">
        <f>F79</f>
        <v>776.83333333333326</v>
      </c>
      <c r="G87" s="13"/>
      <c r="H87" s="13"/>
      <c r="I87" s="42">
        <f>D48</f>
        <v>1424.6</v>
      </c>
    </row>
  </sheetData>
  <mergeCells count="129">
    <mergeCell ref="I79:N79"/>
    <mergeCell ref="B8:C8"/>
    <mergeCell ref="E54:J54"/>
    <mergeCell ref="G14:G15"/>
    <mergeCell ref="B73:C73"/>
    <mergeCell ref="I14:I15"/>
    <mergeCell ref="E41:J41"/>
    <mergeCell ref="E67:N67"/>
    <mergeCell ref="E5:N5"/>
    <mergeCell ref="K14:K15"/>
    <mergeCell ref="B10:C10"/>
    <mergeCell ref="E56:J56"/>
    <mergeCell ref="E43:J43"/>
    <mergeCell ref="E58:J58"/>
    <mergeCell ref="B65:C65"/>
    <mergeCell ref="K44:N44"/>
    <mergeCell ref="B68:C68"/>
    <mergeCell ref="E42:J42"/>
    <mergeCell ref="K59:N59"/>
    <mergeCell ref="B50:C50"/>
    <mergeCell ref="E44:J44"/>
    <mergeCell ref="E4:N4"/>
    <mergeCell ref="E64:N64"/>
    <mergeCell ref="E53:J53"/>
    <mergeCell ref="K47:N47"/>
    <mergeCell ref="E50:J50"/>
    <mergeCell ref="B9:C9"/>
    <mergeCell ref="D14:D15"/>
    <mergeCell ref="F14:F15"/>
    <mergeCell ref="K46:N46"/>
    <mergeCell ref="K40:N40"/>
    <mergeCell ref="E55:J55"/>
    <mergeCell ref="B5:C5"/>
    <mergeCell ref="E52:J52"/>
    <mergeCell ref="B45:C45"/>
    <mergeCell ref="E39:J39"/>
    <mergeCell ref="B4:C4"/>
    <mergeCell ref="B47:C47"/>
    <mergeCell ref="B62:C62"/>
    <mergeCell ref="B59:C59"/>
    <mergeCell ref="B46:C46"/>
    <mergeCell ref="K57:N57"/>
    <mergeCell ref="B39:C39"/>
    <mergeCell ref="B48:C48"/>
    <mergeCell ref="E57:J57"/>
    <mergeCell ref="B79:C79"/>
    <mergeCell ref="E38:J38"/>
    <mergeCell ref="E11:N11"/>
    <mergeCell ref="K42:N42"/>
    <mergeCell ref="B54:C54"/>
    <mergeCell ref="B7:C7"/>
    <mergeCell ref="B72:C72"/>
    <mergeCell ref="E40:J40"/>
    <mergeCell ref="B56:C56"/>
    <mergeCell ref="B71:C71"/>
    <mergeCell ref="B43:C43"/>
    <mergeCell ref="B58:C58"/>
    <mergeCell ref="B52:C52"/>
    <mergeCell ref="E12:N12"/>
    <mergeCell ref="B42:C42"/>
    <mergeCell ref="B57:C57"/>
    <mergeCell ref="E62:N62"/>
    <mergeCell ref="E71:N71"/>
    <mergeCell ref="K45:N45"/>
    <mergeCell ref="B44:C44"/>
    <mergeCell ref="K54:N54"/>
    <mergeCell ref="M14:M15"/>
    <mergeCell ref="K55:N55"/>
    <mergeCell ref="I77:N77"/>
    <mergeCell ref="E6:N6"/>
    <mergeCell ref="B41:C41"/>
    <mergeCell ref="E51:J51"/>
    <mergeCell ref="C14:C15"/>
    <mergeCell ref="E14:E15"/>
    <mergeCell ref="I76:N76"/>
    <mergeCell ref="K39:N39"/>
    <mergeCell ref="E70:N70"/>
    <mergeCell ref="K53:N53"/>
    <mergeCell ref="B66:C66"/>
    <mergeCell ref="E72:N72"/>
    <mergeCell ref="E49:J49"/>
    <mergeCell ref="B11:C11"/>
    <mergeCell ref="E45:J45"/>
    <mergeCell ref="B53:C53"/>
    <mergeCell ref="E8:N8"/>
    <mergeCell ref="E73:N73"/>
    <mergeCell ref="K51:N51"/>
    <mergeCell ref="E63:N63"/>
    <mergeCell ref="E10:N10"/>
    <mergeCell ref="K41:N41"/>
    <mergeCell ref="K50:N50"/>
    <mergeCell ref="H14:H15"/>
    <mergeCell ref="B6:C6"/>
    <mergeCell ref="I78:N78"/>
    <mergeCell ref="B69:C69"/>
    <mergeCell ref="B38:C38"/>
    <mergeCell ref="B78:C78"/>
    <mergeCell ref="E47:J47"/>
    <mergeCell ref="B40:C40"/>
    <mergeCell ref="B49:C49"/>
    <mergeCell ref="B55:C55"/>
    <mergeCell ref="B64:C64"/>
    <mergeCell ref="E69:N69"/>
    <mergeCell ref="K58:N58"/>
    <mergeCell ref="B51:C51"/>
    <mergeCell ref="B63:C63"/>
    <mergeCell ref="K56:N56"/>
    <mergeCell ref="E48:J48"/>
    <mergeCell ref="K43:N43"/>
    <mergeCell ref="K52:N52"/>
    <mergeCell ref="B76:C76"/>
    <mergeCell ref="E65:N65"/>
    <mergeCell ref="E66:N66"/>
    <mergeCell ref="B70:C70"/>
    <mergeCell ref="E68:N68"/>
    <mergeCell ref="K48:N48"/>
    <mergeCell ref="E7:N7"/>
    <mergeCell ref="K38:N38"/>
    <mergeCell ref="B14:B15"/>
    <mergeCell ref="B12:C12"/>
    <mergeCell ref="E59:J59"/>
    <mergeCell ref="B77:C77"/>
    <mergeCell ref="L14:L15"/>
    <mergeCell ref="E46:J46"/>
    <mergeCell ref="N14:N15"/>
    <mergeCell ref="K49:N49"/>
    <mergeCell ref="B67:C67"/>
    <mergeCell ref="J14:J15"/>
    <mergeCell ref="E9:N9"/>
  </mergeCells>
  <conditionalFormatting sqref="B16:N33">
    <cfRule type="expression" dxfId="4" priority="1">
      <formula>OR($J16&lt;-0.05,$K16&lt;-0.05)</formula>
    </cfRule>
  </conditionalFormatting>
  <conditionalFormatting sqref="D45:D46">
    <cfRule type="expression" dxfId="3" priority="3">
      <formula>D45&lt;$D$11</formula>
    </cfRule>
  </conditionalFormatting>
  <conditionalFormatting sqref="D57:D59">
    <cfRule type="expression" dxfId="2" priority="4">
      <formula>D57&lt;&gt;"Đạt"</formula>
    </cfRule>
  </conditionalFormatting>
  <conditionalFormatting sqref="L16:M35">
    <cfRule type="expression" dxfId="1" priority="2">
      <formula>AND(ISNUMBER(L16),L16&lt;$D$11)</formula>
    </cfRule>
  </conditionalFormatting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  <pageSetUpPr fitToPage="1"/>
  </sheetPr>
  <dimension ref="A1:H62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.6640625" style="3" customWidth="1"/>
    <col min="2" max="2" width="58" style="3" customWidth="1"/>
    <col min="3" max="7" width="14" style="3" customWidth="1"/>
    <col min="8" max="8" width="70" style="3" customWidth="1"/>
  </cols>
  <sheetData>
    <row r="1" spans="2:8" ht="42" customHeight="1" x14ac:dyDescent="0.3">
      <c r="B1" s="4" t="s">
        <v>578</v>
      </c>
    </row>
    <row r="2" spans="2:8" ht="21" customHeight="1" x14ac:dyDescent="0.3">
      <c r="B2" s="5" t="s">
        <v>579</v>
      </c>
    </row>
    <row r="4" spans="2:8" x14ac:dyDescent="0.3">
      <c r="B4" s="109" t="s">
        <v>580</v>
      </c>
      <c r="C4" s="91"/>
      <c r="D4" s="91"/>
      <c r="E4" s="91"/>
      <c r="F4" s="91"/>
      <c r="G4" s="91"/>
      <c r="H4" s="91"/>
    </row>
    <row r="5" spans="2:8" ht="19.95" customHeight="1" x14ac:dyDescent="0.3">
      <c r="B5" s="62" t="s">
        <v>581</v>
      </c>
      <c r="C5" s="102" t="s">
        <v>582</v>
      </c>
      <c r="D5" s="93"/>
      <c r="E5" s="93"/>
      <c r="F5" s="93"/>
      <c r="G5" s="93"/>
      <c r="H5" s="94"/>
    </row>
    <row r="6" spans="2:8" ht="19.95" customHeight="1" x14ac:dyDescent="0.3">
      <c r="B6" s="62" t="s">
        <v>583</v>
      </c>
      <c r="C6" s="113">
        <v>46538</v>
      </c>
      <c r="D6" s="93"/>
      <c r="E6" s="93"/>
      <c r="F6" s="93"/>
      <c r="G6" s="93"/>
      <c r="H6" s="94"/>
    </row>
    <row r="7" spans="2:8" ht="19.95" customHeight="1" x14ac:dyDescent="0.3">
      <c r="B7" s="62" t="s">
        <v>584</v>
      </c>
      <c r="C7" s="102" t="s">
        <v>585</v>
      </c>
      <c r="D7" s="93"/>
      <c r="E7" s="93"/>
      <c r="F7" s="93"/>
      <c r="G7" s="93"/>
      <c r="H7" s="94"/>
    </row>
    <row r="8" spans="2:8" ht="34.049999999999997" customHeight="1" x14ac:dyDescent="0.3">
      <c r="B8" s="62" t="s">
        <v>586</v>
      </c>
      <c r="C8" s="102" t="s">
        <v>587</v>
      </c>
      <c r="D8" s="93"/>
      <c r="E8" s="93"/>
      <c r="F8" s="93"/>
      <c r="G8" s="93"/>
      <c r="H8" s="94"/>
    </row>
    <row r="9" spans="2:8" ht="34.049999999999997" customHeight="1" x14ac:dyDescent="0.3">
      <c r="B9" s="62" t="s">
        <v>588</v>
      </c>
      <c r="C9" s="102" t="s">
        <v>589</v>
      </c>
      <c r="D9" s="93"/>
      <c r="E9" s="93"/>
      <c r="F9" s="93"/>
      <c r="G9" s="93"/>
      <c r="H9" s="94"/>
    </row>
    <row r="10" spans="2:8" ht="19.95" customHeight="1" x14ac:dyDescent="0.3">
      <c r="B10" s="62" t="s">
        <v>590</v>
      </c>
      <c r="C10" s="102" t="s">
        <v>591</v>
      </c>
      <c r="D10" s="93"/>
      <c r="E10" s="93"/>
      <c r="F10" s="93"/>
      <c r="G10" s="93"/>
      <c r="H10" s="94"/>
    </row>
    <row r="11" spans="2:8" ht="19.95" customHeight="1" x14ac:dyDescent="0.3">
      <c r="B11" s="62" t="s">
        <v>592</v>
      </c>
      <c r="C11" s="102" t="s">
        <v>593</v>
      </c>
      <c r="D11" s="93"/>
      <c r="E11" s="93"/>
      <c r="F11" s="93"/>
      <c r="G11" s="93"/>
      <c r="H11" s="94"/>
    </row>
    <row r="13" spans="2:8" x14ac:dyDescent="0.3">
      <c r="B13" s="109" t="s">
        <v>594</v>
      </c>
      <c r="C13" s="91"/>
      <c r="D13" s="91"/>
      <c r="E13" s="91"/>
      <c r="F13" s="91"/>
      <c r="G13" s="91"/>
      <c r="H13" s="91"/>
    </row>
    <row r="14" spans="2:8" x14ac:dyDescent="0.3">
      <c r="B14" s="2" t="s">
        <v>595</v>
      </c>
      <c r="C14" s="2" t="s">
        <v>223</v>
      </c>
      <c r="D14" s="2" t="s">
        <v>250</v>
      </c>
      <c r="E14" s="2" t="s">
        <v>264</v>
      </c>
      <c r="F14" s="2" t="s">
        <v>251</v>
      </c>
      <c r="G14" s="2" t="s">
        <v>227</v>
      </c>
      <c r="H14" s="65" t="s">
        <v>392</v>
      </c>
    </row>
    <row r="15" spans="2:8" ht="19.95" customHeight="1" x14ac:dyDescent="0.3">
      <c r="B15" s="40" t="s">
        <v>596</v>
      </c>
      <c r="C15" s="13" t="s">
        <v>230</v>
      </c>
      <c r="D15" s="51">
        <v>20</v>
      </c>
      <c r="E15" s="13" t="s">
        <v>270</v>
      </c>
      <c r="F15" s="74">
        <f>INDEX('Nguồn lực'!$D$5:$D$8,MATCH($C15,'Nguồn lực'!$B$5:$B$8,0))</f>
        <v>2</v>
      </c>
      <c r="G15" s="44">
        <f t="shared" ref="G15:G20" si="0">D15*F15</f>
        <v>40</v>
      </c>
      <c r="H15" s="40" t="s">
        <v>597</v>
      </c>
    </row>
    <row r="16" spans="2:8" ht="19.95" customHeight="1" x14ac:dyDescent="0.3">
      <c r="B16" s="40" t="s">
        <v>598</v>
      </c>
      <c r="C16" s="13" t="s">
        <v>230</v>
      </c>
      <c r="D16" s="51">
        <v>80</v>
      </c>
      <c r="E16" s="13" t="s">
        <v>270</v>
      </c>
      <c r="F16" s="74">
        <f>INDEX('Nguồn lực'!$D$5:$D$8,MATCH($C16,'Nguồn lực'!$B$5:$B$8,0))</f>
        <v>2</v>
      </c>
      <c r="G16" s="44">
        <f t="shared" si="0"/>
        <v>160</v>
      </c>
      <c r="H16" s="40" t="s">
        <v>597</v>
      </c>
    </row>
    <row r="17" spans="2:8" ht="19.95" customHeight="1" x14ac:dyDescent="0.3">
      <c r="B17" s="40" t="s">
        <v>599</v>
      </c>
      <c r="C17" s="13" t="s">
        <v>230</v>
      </c>
      <c r="D17" s="51">
        <v>10</v>
      </c>
      <c r="E17" s="13" t="s">
        <v>270</v>
      </c>
      <c r="F17" s="74">
        <f>INDEX('Nguồn lực'!$D$5:$D$8,MATCH($C17,'Nguồn lực'!$B$5:$B$8,0))</f>
        <v>2</v>
      </c>
      <c r="G17" s="44">
        <f t="shared" si="0"/>
        <v>20</v>
      </c>
      <c r="H17" s="40" t="s">
        <v>597</v>
      </c>
    </row>
    <row r="18" spans="2:8" ht="19.95" customHeight="1" x14ac:dyDescent="0.3">
      <c r="B18" s="40" t="s">
        <v>600</v>
      </c>
      <c r="C18" s="13" t="s">
        <v>234</v>
      </c>
      <c r="D18" s="51">
        <v>15</v>
      </c>
      <c r="E18" s="13" t="s">
        <v>270</v>
      </c>
      <c r="F18" s="74">
        <f>INDEX('Nguồn lực'!$D$5:$D$8,MATCH($C18,'Nguồn lực'!$B$5:$B$8,0))</f>
        <v>1.5</v>
      </c>
      <c r="G18" s="44">
        <f t="shared" si="0"/>
        <v>22.5</v>
      </c>
      <c r="H18" s="40" t="s">
        <v>597</v>
      </c>
    </row>
    <row r="19" spans="2:8" ht="19.95" customHeight="1" x14ac:dyDescent="0.3">
      <c r="B19" s="40" t="s">
        <v>601</v>
      </c>
      <c r="C19" s="13" t="s">
        <v>242</v>
      </c>
      <c r="D19" s="51">
        <v>25</v>
      </c>
      <c r="E19" s="13" t="s">
        <v>270</v>
      </c>
      <c r="F19" s="74">
        <f>INDEX('Nguồn lực'!$D$5:$D$8,MATCH($C19,'Nguồn lực'!$B$5:$B$8,0))</f>
        <v>1</v>
      </c>
      <c r="G19" s="44">
        <f t="shared" si="0"/>
        <v>25</v>
      </c>
      <c r="H19" s="40" t="s">
        <v>597</v>
      </c>
    </row>
    <row r="20" spans="2:8" ht="19.95" customHeight="1" x14ac:dyDescent="0.3">
      <c r="B20" s="40" t="s">
        <v>602</v>
      </c>
      <c r="C20" s="13" t="s">
        <v>179</v>
      </c>
      <c r="D20" s="51">
        <v>1</v>
      </c>
      <c r="E20" s="13" t="s">
        <v>290</v>
      </c>
      <c r="F20" s="73">
        <v>32.5</v>
      </c>
      <c r="G20" s="44">
        <f t="shared" si="0"/>
        <v>32.5</v>
      </c>
      <c r="H20" s="40" t="s">
        <v>603</v>
      </c>
    </row>
    <row r="21" spans="2:8" x14ac:dyDescent="0.3">
      <c r="B21" s="45" t="s">
        <v>604</v>
      </c>
      <c r="C21" s="13"/>
      <c r="D21" s="13"/>
      <c r="E21" s="13"/>
      <c r="F21" s="13"/>
      <c r="G21" s="56">
        <f>SUM(G15:G20)</f>
        <v>300</v>
      </c>
      <c r="H21" s="13" t="str">
        <f>"Ngày công: "&amp;SUMIF(C15:C20,"TV",D15:D20)&amp;" tư vấn + "&amp;SUMIF(C15:C20,"BA",D15:D20)&amp;" BA + "&amp;SUMIF(C15:C20,"NB",D15:D20)&amp;" nội bộ"</f>
        <v>Ngày công: 110 tư vấn + 15 BA + 25 nội bộ</v>
      </c>
    </row>
    <row r="23" spans="2:8" x14ac:dyDescent="0.3">
      <c r="B23" s="109" t="s">
        <v>605</v>
      </c>
      <c r="C23" s="91"/>
      <c r="D23" s="91"/>
      <c r="E23" s="91"/>
      <c r="F23" s="91"/>
      <c r="G23" s="91"/>
      <c r="H23" s="91"/>
    </row>
    <row r="24" spans="2:8" ht="28.8" x14ac:dyDescent="0.3">
      <c r="B24" s="65" t="s">
        <v>606</v>
      </c>
      <c r="C24" s="2" t="s">
        <v>607</v>
      </c>
      <c r="D24" s="2" t="s">
        <v>608</v>
      </c>
      <c r="E24" s="2" t="s">
        <v>609</v>
      </c>
      <c r="F24" s="109" t="s">
        <v>543</v>
      </c>
      <c r="G24" s="91"/>
      <c r="H24" s="91"/>
    </row>
    <row r="25" spans="2:8" ht="31.95" customHeight="1" x14ac:dyDescent="0.3">
      <c r="B25" s="40" t="s">
        <v>610</v>
      </c>
      <c r="C25" s="13"/>
      <c r="D25" s="54">
        <v>8</v>
      </c>
      <c r="E25" s="13"/>
      <c r="F25" s="102" t="s">
        <v>611</v>
      </c>
      <c r="G25" s="93"/>
      <c r="H25" s="94"/>
    </row>
    <row r="26" spans="2:8" ht="19.95" customHeight="1" x14ac:dyDescent="0.3">
      <c r="B26" s="40" t="s">
        <v>612</v>
      </c>
      <c r="C26" s="55">
        <f>INDEX('Hoạt động, lịch'!$M$5:$M$26,MATCH("E",'Hoạt động, lịch'!$B$5:$B$26,0))</f>
        <v>14</v>
      </c>
      <c r="D26" s="55"/>
      <c r="E26" s="13"/>
      <c r="F26" s="102" t="s">
        <v>613</v>
      </c>
      <c r="G26" s="93"/>
      <c r="H26" s="94"/>
    </row>
    <row r="27" spans="2:8" ht="19.95" customHeight="1" x14ac:dyDescent="0.3">
      <c r="B27" s="40" t="s">
        <v>614</v>
      </c>
      <c r="C27" s="55"/>
      <c r="D27" s="55">
        <f>C26</f>
        <v>14</v>
      </c>
      <c r="E27" s="13"/>
      <c r="F27" s="102" t="s">
        <v>615</v>
      </c>
      <c r="G27" s="93"/>
      <c r="H27" s="94"/>
    </row>
    <row r="28" spans="2:8" ht="19.95" customHeight="1" x14ac:dyDescent="0.3">
      <c r="B28" s="40" t="s">
        <v>616</v>
      </c>
      <c r="C28" s="55"/>
      <c r="D28" s="55">
        <f>D27+D25</f>
        <v>22</v>
      </c>
      <c r="E28" s="13"/>
      <c r="F28" s="102"/>
      <c r="G28" s="93"/>
      <c r="H28" s="94"/>
    </row>
    <row r="29" spans="2:8" ht="19.95" customHeight="1" x14ac:dyDescent="0.3">
      <c r="B29" s="40" t="s">
        <v>617</v>
      </c>
      <c r="C29" s="55">
        <f>INDEX('Hoạt động, lịch'!$L$5:$L$26,MATCH("L",'Hoạt động, lịch'!$B$5:$B$26,0))</f>
        <v>14</v>
      </c>
      <c r="D29" s="55">
        <f>MAX(C29,D28)</f>
        <v>22</v>
      </c>
      <c r="E29" s="81">
        <f>D29-C29</f>
        <v>8</v>
      </c>
      <c r="F29" s="102" t="s">
        <v>618</v>
      </c>
      <c r="G29" s="93"/>
      <c r="H29" s="94"/>
    </row>
    <row r="30" spans="2:8" ht="19.95" customHeight="1" x14ac:dyDescent="0.3">
      <c r="B30" s="40" t="s">
        <v>619</v>
      </c>
      <c r="C30" s="55">
        <f>INDEX('Hoạt động, lịch'!$P$5:$P$26,MATCH("L",'Hoạt động, lịch'!$B$5:$B$26,0))</f>
        <v>0</v>
      </c>
      <c r="D30" s="55">
        <f>0</f>
        <v>0</v>
      </c>
      <c r="E30" s="13"/>
      <c r="F30" s="102" t="s">
        <v>620</v>
      </c>
      <c r="G30" s="93"/>
      <c r="H30" s="94"/>
    </row>
    <row r="31" spans="2:8" ht="19.95" customHeight="1" x14ac:dyDescent="0.3">
      <c r="B31" s="40" t="s">
        <v>621</v>
      </c>
      <c r="C31" s="55"/>
      <c r="D31" s="55">
        <f>MAX(0,D29-C29-C30)</f>
        <v>8</v>
      </c>
      <c r="E31" s="13"/>
      <c r="F31" s="102" t="s">
        <v>622</v>
      </c>
      <c r="G31" s="93"/>
      <c r="H31" s="94"/>
    </row>
    <row r="32" spans="2:8" ht="19.95" customHeight="1" x14ac:dyDescent="0.3">
      <c r="B32" s="40" t="s">
        <v>623</v>
      </c>
      <c r="C32" s="55">
        <f>'Hoạt động, lịch'!$D$29</f>
        <v>26</v>
      </c>
      <c r="D32" s="55">
        <f>C32+D31</f>
        <v>34</v>
      </c>
      <c r="E32" s="81">
        <f>D32-C32</f>
        <v>8</v>
      </c>
      <c r="F32" s="102" t="s">
        <v>624</v>
      </c>
      <c r="G32" s="93"/>
      <c r="H32" s="94"/>
    </row>
    <row r="33" spans="2:8" ht="19.95" customHeight="1" x14ac:dyDescent="0.3">
      <c r="B33" s="40" t="s">
        <v>625</v>
      </c>
      <c r="C33" s="72">
        <f>INDEX('Hoạt động, lịch'!$U$5:$U$26,MATCH("Q",'Hoạt động, lịch'!$B$5:$B$26,0))</f>
        <v>46598</v>
      </c>
      <c r="D33" s="72">
        <f>C33+7*D31</f>
        <v>46654</v>
      </c>
      <c r="E33" s="82">
        <f>D33-C33</f>
        <v>56</v>
      </c>
      <c r="F33" s="102" t="s">
        <v>626</v>
      </c>
      <c r="G33" s="93"/>
      <c r="H33" s="94"/>
    </row>
    <row r="34" spans="2:8" ht="19.95" customHeight="1" x14ac:dyDescent="0.3">
      <c r="B34" s="40" t="s">
        <v>627</v>
      </c>
      <c r="C34" s="72">
        <f>INDEX('Hoạt động, lịch'!$U$5:$U$26,MATCH("S",'Hoạt động, lịch'!$B$5:$B$26,0))</f>
        <v>46626</v>
      </c>
      <c r="D34" s="72">
        <f>C34+7*D31</f>
        <v>46682</v>
      </c>
      <c r="E34" s="82">
        <f>D34-C34</f>
        <v>56</v>
      </c>
      <c r="F34" s="102" t="s">
        <v>628</v>
      </c>
      <c r="G34" s="93"/>
      <c r="H34" s="94"/>
    </row>
    <row r="35" spans="2:8" ht="19.95" customHeight="1" x14ac:dyDescent="0.3">
      <c r="B35" s="40" t="s">
        <v>629</v>
      </c>
      <c r="C35" s="43">
        <f>(DATE(2027,12,1)-C33)/30.4</f>
        <v>4.0789473684210531</v>
      </c>
      <c r="D35" s="43">
        <f>(DATE(2027,12,1)-D33)/30.4</f>
        <v>2.236842105263158</v>
      </c>
      <c r="E35" s="79">
        <f>D35-C35</f>
        <v>-1.8421052631578951</v>
      </c>
      <c r="F35" s="102" t="s">
        <v>630</v>
      </c>
      <c r="G35" s="93"/>
      <c r="H35" s="94"/>
    </row>
    <row r="37" spans="2:8" x14ac:dyDescent="0.3">
      <c r="B37" s="109" t="s">
        <v>631</v>
      </c>
      <c r="C37" s="91"/>
      <c r="D37" s="91"/>
      <c r="E37" s="91"/>
      <c r="F37" s="91"/>
      <c r="G37" s="91"/>
      <c r="H37" s="91"/>
    </row>
    <row r="38" spans="2:8" ht="31.95" customHeight="1" x14ac:dyDescent="0.3">
      <c r="B38" s="65" t="s">
        <v>606</v>
      </c>
      <c r="C38" s="2" t="s">
        <v>632</v>
      </c>
      <c r="D38" s="2" t="s">
        <v>633</v>
      </c>
      <c r="E38" s="109" t="s">
        <v>543</v>
      </c>
      <c r="F38" s="91"/>
      <c r="G38" s="91"/>
      <c r="H38" s="91"/>
    </row>
    <row r="39" spans="2:8" ht="19.95" customHeight="1" x14ac:dyDescent="0.3">
      <c r="B39" s="40" t="s">
        <v>634</v>
      </c>
      <c r="C39" s="44">
        <f>EVM!$D$48</f>
        <v>1424.6</v>
      </c>
      <c r="D39" s="44">
        <f>EVM!$D$51</f>
        <v>1483.3528338091451</v>
      </c>
      <c r="E39" s="102" t="s">
        <v>635</v>
      </c>
      <c r="F39" s="93"/>
      <c r="G39" s="93"/>
      <c r="H39" s="94"/>
    </row>
    <row r="40" spans="2:8" ht="19.95" customHeight="1" x14ac:dyDescent="0.3">
      <c r="B40" s="40" t="s">
        <v>636</v>
      </c>
      <c r="C40" s="44">
        <f>$G$21</f>
        <v>300</v>
      </c>
      <c r="D40" s="44">
        <f>$G$21</f>
        <v>300</v>
      </c>
      <c r="E40" s="102" t="s">
        <v>637</v>
      </c>
      <c r="F40" s="93"/>
      <c r="G40" s="93"/>
      <c r="H40" s="94"/>
    </row>
    <row r="41" spans="2:8" ht="19.95" customHeight="1" x14ac:dyDescent="0.3">
      <c r="B41" s="40" t="s">
        <v>638</v>
      </c>
      <c r="C41" s="44">
        <f>C39+C40</f>
        <v>1724.6</v>
      </c>
      <c r="D41" s="44">
        <f>D39+D40</f>
        <v>1783.3528338091451</v>
      </c>
      <c r="E41" s="102" t="s">
        <v>639</v>
      </c>
      <c r="F41" s="93"/>
      <c r="G41" s="93"/>
      <c r="H41" s="94"/>
    </row>
    <row r="42" spans="2:8" ht="19.95" customHeight="1" x14ac:dyDescent="0.3">
      <c r="B42" s="40" t="s">
        <v>640</v>
      </c>
      <c r="C42" s="44">
        <f>'Chi phí'!$J$79</f>
        <v>1500</v>
      </c>
      <c r="D42" s="44">
        <f>'Chi phí'!$J$79</f>
        <v>1500</v>
      </c>
      <c r="E42" s="102" t="s">
        <v>641</v>
      </c>
      <c r="F42" s="93"/>
      <c r="G42" s="93"/>
      <c r="H42" s="94"/>
    </row>
    <row r="43" spans="2:8" ht="19.95" customHeight="1" x14ac:dyDescent="0.3">
      <c r="B43" s="40" t="s">
        <v>642</v>
      </c>
      <c r="C43" s="44">
        <f>MAX(0,C41-C42)</f>
        <v>224.59999999999991</v>
      </c>
      <c r="D43" s="44">
        <f>MAX(0,D41-D42)</f>
        <v>283.35283380914507</v>
      </c>
      <c r="E43" s="102" t="s">
        <v>643</v>
      </c>
      <c r="F43" s="93"/>
      <c r="G43" s="93"/>
      <c r="H43" s="94"/>
    </row>
    <row r="44" spans="2:8" ht="19.95" customHeight="1" x14ac:dyDescent="0.3">
      <c r="B44" s="40" t="s">
        <v>644</v>
      </c>
      <c r="C44" s="44">
        <f>EVM!$D$54</f>
        <v>75.400000000000091</v>
      </c>
      <c r="D44" s="44">
        <f>EVM!$D$56</f>
        <v>16.647166190854932</v>
      </c>
      <c r="E44" s="102" t="s">
        <v>645</v>
      </c>
      <c r="F44" s="93"/>
      <c r="G44" s="93"/>
      <c r="H44" s="94"/>
    </row>
    <row r="45" spans="2:8" ht="19.95" customHeight="1" x14ac:dyDescent="0.3">
      <c r="B45" s="40" t="s">
        <v>646</v>
      </c>
      <c r="C45" s="83" t="str">
        <f>IF(C44&gt;=C40,"Đủ","KHÔNG ĐỦ")</f>
        <v>KHÔNG ĐỦ</v>
      </c>
      <c r="D45" s="83" t="str">
        <f>IF(D44&gt;=D40,"Đủ","KHÔNG ĐỦ")</f>
        <v>KHÔNG ĐỦ</v>
      </c>
      <c r="E45" s="102" t="s">
        <v>647</v>
      </c>
      <c r="F45" s="93"/>
      <c r="G45" s="93"/>
      <c r="H45" s="94"/>
    </row>
    <row r="47" spans="2:8" x14ac:dyDescent="0.3">
      <c r="B47" s="109" t="s">
        <v>648</v>
      </c>
      <c r="C47" s="91"/>
      <c r="D47" s="91"/>
      <c r="E47" s="91"/>
      <c r="F47" s="91"/>
      <c r="G47" s="91"/>
      <c r="H47" s="91"/>
    </row>
    <row r="48" spans="2:8" ht="28.8" x14ac:dyDescent="0.3">
      <c r="B48" s="65" t="s">
        <v>606</v>
      </c>
      <c r="C48" s="2" t="s">
        <v>607</v>
      </c>
      <c r="D48" s="2" t="s">
        <v>608</v>
      </c>
      <c r="E48" s="2" t="s">
        <v>609</v>
      </c>
      <c r="F48" s="109" t="s">
        <v>543</v>
      </c>
      <c r="G48" s="91"/>
      <c r="H48" s="91"/>
    </row>
    <row r="49" spans="2:8" ht="31.95" customHeight="1" x14ac:dyDescent="0.3">
      <c r="B49" s="40" t="s">
        <v>449</v>
      </c>
      <c r="C49" s="44">
        <f>'Dòng tiền'!$C$46</f>
        <v>1243.172034438775</v>
      </c>
      <c r="D49" s="56">
        <f>C49-$G$21</f>
        <v>943.17203443877497</v>
      </c>
      <c r="E49" s="57">
        <f>D49-C49</f>
        <v>-300</v>
      </c>
      <c r="F49" s="102" t="s">
        <v>649</v>
      </c>
      <c r="G49" s="93"/>
      <c r="H49" s="94"/>
    </row>
    <row r="50" spans="2:8" ht="19.95" customHeight="1" x14ac:dyDescent="0.3">
      <c r="B50" s="40" t="s">
        <v>453</v>
      </c>
      <c r="C50" s="63">
        <f>'Dòng tiền'!$C$48</f>
        <v>0.59355444722207473</v>
      </c>
      <c r="D50" s="70">
        <f>D49/('Dòng tiền'!$G$41+$G$21)</f>
        <v>0.39389870686221257</v>
      </c>
      <c r="E50" s="84">
        <f>D50-C50</f>
        <v>-0.19965574035986217</v>
      </c>
      <c r="F50" s="102" t="s">
        <v>650</v>
      </c>
      <c r="G50" s="93"/>
      <c r="H50" s="94"/>
    </row>
    <row r="51" spans="2:8" ht="19.95" customHeight="1" x14ac:dyDescent="0.3">
      <c r="B51" s="40" t="s">
        <v>651</v>
      </c>
      <c r="C51" s="74">
        <f>'Dòng tiền'!$C$49</f>
        <v>1.2918042198937849</v>
      </c>
      <c r="D51" s="71">
        <f>('Dòng tiền'!$C$13+$G$21)/AVERAGE('Dòng tiền'!$D$38:$F$38)</f>
        <v>1.5501650638725419</v>
      </c>
      <c r="E51" s="85">
        <f>D51-C51</f>
        <v>0.25836084397875703</v>
      </c>
      <c r="F51" s="102" t="s">
        <v>652</v>
      </c>
      <c r="G51" s="93"/>
      <c r="H51" s="94"/>
    </row>
    <row r="53" spans="2:8" x14ac:dyDescent="0.3">
      <c r="B53" s="109" t="s">
        <v>653</v>
      </c>
      <c r="C53" s="91"/>
      <c r="D53" s="91"/>
      <c r="E53" s="91"/>
      <c r="F53" s="91"/>
      <c r="G53" s="91"/>
      <c r="H53" s="91"/>
    </row>
    <row r="54" spans="2:8" x14ac:dyDescent="0.3">
      <c r="B54" s="65" t="s">
        <v>654</v>
      </c>
      <c r="C54" s="90" t="s">
        <v>447</v>
      </c>
      <c r="D54" s="91"/>
      <c r="E54" s="109" t="s">
        <v>392</v>
      </c>
      <c r="F54" s="91"/>
      <c r="G54" s="91"/>
      <c r="H54" s="91"/>
    </row>
    <row r="55" spans="2:8" ht="19.95" customHeight="1" x14ac:dyDescent="0.3">
      <c r="B55" s="40" t="s">
        <v>655</v>
      </c>
      <c r="C55" s="108" t="str">
        <f>IF(D34&gt;DATE(2027,8,27),"Có","Không")</f>
        <v>Có</v>
      </c>
      <c r="D55" s="94"/>
      <c r="E55" s="102" t="s">
        <v>656</v>
      </c>
      <c r="F55" s="93"/>
      <c r="G55" s="93"/>
      <c r="H55" s="94"/>
    </row>
    <row r="56" spans="2:8" ht="19.95" customHeight="1" x14ac:dyDescent="0.3">
      <c r="B56" s="40" t="s">
        <v>657</v>
      </c>
      <c r="C56" s="108" t="str">
        <f>IF(D35&lt;3,"Có","Không")</f>
        <v>Có</v>
      </c>
      <c r="D56" s="94"/>
      <c r="E56" s="102" t="s">
        <v>658</v>
      </c>
      <c r="F56" s="93"/>
      <c r="G56" s="93"/>
      <c r="H56" s="94"/>
    </row>
    <row r="57" spans="2:8" ht="19.95" customHeight="1" x14ac:dyDescent="0.3">
      <c r="B57" s="40" t="s">
        <v>659</v>
      </c>
      <c r="C57" s="108" t="str">
        <f>IF(MAX(C43:D43)&gt;0,"Có","Không")</f>
        <v>Có</v>
      </c>
      <c r="D57" s="94"/>
      <c r="E57" s="102" t="s">
        <v>660</v>
      </c>
      <c r="F57" s="93"/>
      <c r="G57" s="93"/>
      <c r="H57" s="94"/>
    </row>
    <row r="58" spans="2:8" ht="19.95" customHeight="1" x14ac:dyDescent="0.3">
      <c r="B58" s="40" t="s">
        <v>661</v>
      </c>
      <c r="C58" s="108" t="str">
        <f>IF(AND(C45="Đủ",D45="Đủ"),"Đủ","Không đủ")</f>
        <v>Không đủ</v>
      </c>
      <c r="D58" s="94"/>
      <c r="E58" s="102" t="s">
        <v>662</v>
      </c>
      <c r="F58" s="93"/>
      <c r="G58" s="93"/>
      <c r="H58" s="94"/>
    </row>
    <row r="59" spans="2:8" ht="22.05" customHeight="1" x14ac:dyDescent="0.3">
      <c r="B59" s="62" t="s">
        <v>663</v>
      </c>
      <c r="C59" s="112" t="str">
        <f>IF(OR(C55="Có",C56="Có",C57="Có",C58="Không đủ"),"Từ chối đưa vào baseline hiện tại; chuyển sang giai đoạn 2","Xem xét chấp nhận, cập nhật baseline")</f>
        <v>Từ chối đưa vào baseline hiện tại; chuyển sang giai đoạn 2</v>
      </c>
      <c r="D59" s="93"/>
      <c r="E59" s="93"/>
      <c r="F59" s="93"/>
      <c r="G59" s="93"/>
      <c r="H59" s="94"/>
    </row>
    <row r="60" spans="2:8" ht="22.05" customHeight="1" x14ac:dyDescent="0.3">
      <c r="B60" s="62" t="s">
        <v>664</v>
      </c>
      <c r="C60" s="111" t="s">
        <v>665</v>
      </c>
      <c r="D60" s="93"/>
      <c r="E60" s="93"/>
      <c r="F60" s="93"/>
      <c r="G60" s="93"/>
      <c r="H60" s="94"/>
    </row>
    <row r="61" spans="2:8" x14ac:dyDescent="0.3">
      <c r="B61" s="62" t="s">
        <v>666</v>
      </c>
      <c r="C61" s="102" t="s">
        <v>667</v>
      </c>
      <c r="D61" s="93"/>
      <c r="E61" s="93"/>
      <c r="F61" s="93"/>
      <c r="G61" s="93"/>
      <c r="H61" s="94"/>
    </row>
    <row r="62" spans="2:8" x14ac:dyDescent="0.3">
      <c r="B62" s="62" t="s">
        <v>668</v>
      </c>
      <c r="C62" s="113">
        <v>46542</v>
      </c>
      <c r="D62" s="93"/>
      <c r="E62" s="93"/>
      <c r="F62" s="93"/>
      <c r="G62" s="93"/>
      <c r="H62" s="94"/>
    </row>
  </sheetData>
  <mergeCells count="51">
    <mergeCell ref="C62:H62"/>
    <mergeCell ref="E40:H40"/>
    <mergeCell ref="B13:H13"/>
    <mergeCell ref="C5:H5"/>
    <mergeCell ref="B53:H53"/>
    <mergeCell ref="C57:D57"/>
    <mergeCell ref="F30:H30"/>
    <mergeCell ref="B37:H37"/>
    <mergeCell ref="F24:H24"/>
    <mergeCell ref="F51:H51"/>
    <mergeCell ref="C61:H61"/>
    <mergeCell ref="B47:H47"/>
    <mergeCell ref="C8:H8"/>
    <mergeCell ref="F48:H48"/>
    <mergeCell ref="E55:H55"/>
    <mergeCell ref="C56:D56"/>
    <mergeCell ref="E42:H42"/>
    <mergeCell ref="E39:H39"/>
    <mergeCell ref="F49:H49"/>
    <mergeCell ref="E38:H38"/>
    <mergeCell ref="E44:H44"/>
    <mergeCell ref="F29:H29"/>
    <mergeCell ref="F25:H25"/>
    <mergeCell ref="B23:H23"/>
    <mergeCell ref="F34:H34"/>
    <mergeCell ref="C60:H60"/>
    <mergeCell ref="F31:H31"/>
    <mergeCell ref="B4:H4"/>
    <mergeCell ref="F27:H27"/>
    <mergeCell ref="E43:H43"/>
    <mergeCell ref="E58:H58"/>
    <mergeCell ref="C55:D55"/>
    <mergeCell ref="C7:H7"/>
    <mergeCell ref="C6:H6"/>
    <mergeCell ref="C58:D58"/>
    <mergeCell ref="E41:H41"/>
    <mergeCell ref="C59:H59"/>
    <mergeCell ref="C11:H11"/>
    <mergeCell ref="E56:H56"/>
    <mergeCell ref="F28:H28"/>
    <mergeCell ref="C54:D54"/>
    <mergeCell ref="C10:H10"/>
    <mergeCell ref="E45:H45"/>
    <mergeCell ref="F33:H33"/>
    <mergeCell ref="E57:H57"/>
    <mergeCell ref="C9:H9"/>
    <mergeCell ref="F32:H32"/>
    <mergeCell ref="F35:H35"/>
    <mergeCell ref="F50:H50"/>
    <mergeCell ref="F26:H26"/>
    <mergeCell ref="E54:H54"/>
  </mergeCells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  <pageSetUpPr fitToPage="1"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.6640625" style="3" customWidth="1"/>
    <col min="2" max="2" width="58" style="3" customWidth="1"/>
    <col min="3" max="4" width="16" style="3" customWidth="1"/>
    <col min="5" max="5" width="13" style="3" customWidth="1"/>
    <col min="6" max="6" width="10" style="3" customWidth="1"/>
    <col min="7" max="7" width="56" style="3" customWidth="1"/>
  </cols>
  <sheetData>
    <row r="1" spans="2:7" ht="42" customHeight="1" x14ac:dyDescent="0.3">
      <c r="B1" s="4" t="s">
        <v>669</v>
      </c>
    </row>
    <row r="2" spans="2:7" ht="21" customHeight="1" x14ac:dyDescent="0.3">
      <c r="B2" s="5" t="s">
        <v>670</v>
      </c>
    </row>
    <row r="4" spans="2:7" ht="31.95" customHeight="1" x14ac:dyDescent="0.3">
      <c r="B4" s="65" t="s">
        <v>671</v>
      </c>
      <c r="C4" s="2" t="s">
        <v>672</v>
      </c>
      <c r="D4" s="2" t="s">
        <v>673</v>
      </c>
      <c r="E4" s="2" t="s">
        <v>609</v>
      </c>
      <c r="F4" s="2" t="s">
        <v>447</v>
      </c>
      <c r="G4" s="2" t="s">
        <v>674</v>
      </c>
    </row>
    <row r="5" spans="2:7" x14ac:dyDescent="0.3">
      <c r="B5" s="109" t="s">
        <v>675</v>
      </c>
      <c r="C5" s="91"/>
      <c r="D5" s="91"/>
      <c r="E5" s="91"/>
      <c r="F5" s="91"/>
      <c r="G5" s="91"/>
    </row>
    <row r="6" spans="2:7" ht="19.95" customHeight="1" x14ac:dyDescent="0.3">
      <c r="B6" s="40" t="s">
        <v>623</v>
      </c>
      <c r="C6" s="54">
        <v>26</v>
      </c>
      <c r="D6" s="55">
        <f>'Hoạt động, lịch'!$D$29</f>
        <v>26</v>
      </c>
      <c r="E6" s="86">
        <f t="shared" ref="E6:E14" si="0">D6-C6</f>
        <v>0</v>
      </c>
      <c r="F6" s="39" t="str">
        <f t="shared" ref="F6:F14" si="1">IF(ABS(E6)&lt;0.0005,"Khớp","LỆCH")</f>
        <v>Khớp</v>
      </c>
      <c r="G6" s="40" t="s">
        <v>676</v>
      </c>
    </row>
    <row r="7" spans="2:7" ht="19.95" customHeight="1" x14ac:dyDescent="0.3">
      <c r="B7" s="40" t="s">
        <v>677</v>
      </c>
      <c r="C7" s="87">
        <v>46447</v>
      </c>
      <c r="D7" s="72">
        <f>'Hoạt động, lịch'!$D$28</f>
        <v>46447</v>
      </c>
      <c r="E7" s="86">
        <f t="shared" si="0"/>
        <v>0</v>
      </c>
      <c r="F7" s="39" t="str">
        <f t="shared" si="1"/>
        <v>Khớp</v>
      </c>
      <c r="G7" s="40" t="s">
        <v>678</v>
      </c>
    </row>
    <row r="8" spans="2:7" ht="19.95" customHeight="1" x14ac:dyDescent="0.3">
      <c r="B8" s="40" t="s">
        <v>679</v>
      </c>
      <c r="C8" s="87">
        <v>46486</v>
      </c>
      <c r="D8" s="72">
        <f>'Hoạt động, lịch'!$D$28+(INDEX('Hoạt động, lịch'!$M$5:$M$26,MATCH("B",'Hoạt động, lịch'!$B$5:$B$26,0))-1)*7+4</f>
        <v>46486</v>
      </c>
      <c r="E8" s="86">
        <f t="shared" si="0"/>
        <v>0</v>
      </c>
      <c r="F8" s="39" t="str">
        <f t="shared" si="1"/>
        <v>Khớp</v>
      </c>
      <c r="G8" s="40" t="s">
        <v>680</v>
      </c>
    </row>
    <row r="9" spans="2:7" ht="19.95" customHeight="1" x14ac:dyDescent="0.3">
      <c r="B9" s="40" t="s">
        <v>681</v>
      </c>
      <c r="C9" s="87">
        <v>46500</v>
      </c>
      <c r="D9" s="72">
        <f>'Hoạt động, lịch'!$D$28+(MAX(INDEX('Hoạt động, lịch'!$M$5:$M$26,MATCH("C",'Hoạt động, lịch'!$B$5:$B$26,0)),INDEX('Hoạt động, lịch'!$M$5:$M$26,MATCH("D",'Hoạt động, lịch'!$B$5:$B$26,0)))-1)*7+4</f>
        <v>46500</v>
      </c>
      <c r="E9" s="86">
        <f t="shared" si="0"/>
        <v>0</v>
      </c>
      <c r="F9" s="39" t="str">
        <f t="shared" si="1"/>
        <v>Khớp</v>
      </c>
      <c r="G9" s="40" t="s">
        <v>682</v>
      </c>
    </row>
    <row r="10" spans="2:7" ht="19.95" customHeight="1" x14ac:dyDescent="0.3">
      <c r="B10" s="40" t="s">
        <v>683</v>
      </c>
      <c r="C10" s="87">
        <v>46549</v>
      </c>
      <c r="D10" s="72">
        <f>'Hoạt động, lịch'!$D$28+(INDEX('Hoạt động, lịch'!$M$5:$M$26,MATCH("L",'Hoạt động, lịch'!$B$5:$B$26,0))-1)*7+4</f>
        <v>46549</v>
      </c>
      <c r="E10" s="86">
        <f t="shared" si="0"/>
        <v>0</v>
      </c>
      <c r="F10" s="39" t="str">
        <f t="shared" si="1"/>
        <v>Khớp</v>
      </c>
      <c r="G10" s="40" t="s">
        <v>684</v>
      </c>
    </row>
    <row r="11" spans="2:7" ht="19.95" customHeight="1" x14ac:dyDescent="0.3">
      <c r="B11" s="40" t="s">
        <v>685</v>
      </c>
      <c r="C11" s="87">
        <v>46556</v>
      </c>
      <c r="D11" s="72">
        <f>'Hoạt động, lịch'!$D$28+(INDEX('Hoạt động, lịch'!$M$5:$M$26,MATCH("M",'Hoạt động, lịch'!$B$5:$B$26,0))-1)*7+4</f>
        <v>46556</v>
      </c>
      <c r="E11" s="86">
        <f t="shared" si="0"/>
        <v>0</v>
      </c>
      <c r="F11" s="39" t="str">
        <f t="shared" si="1"/>
        <v>Khớp</v>
      </c>
      <c r="G11" s="40" t="s">
        <v>686</v>
      </c>
    </row>
    <row r="12" spans="2:7" ht="19.95" customHeight="1" x14ac:dyDescent="0.3">
      <c r="B12" s="40" t="s">
        <v>687</v>
      </c>
      <c r="C12" s="87">
        <v>46559</v>
      </c>
      <c r="D12" s="72">
        <f>'Hoạt động, lịch'!$D$28+INDEX('Hoạt động, lịch'!$L$5:$L$26,MATCH("P",'Hoạt động, lịch'!$B$5:$B$26,0))*7</f>
        <v>46559</v>
      </c>
      <c r="E12" s="86">
        <f t="shared" si="0"/>
        <v>0</v>
      </c>
      <c r="F12" s="39" t="str">
        <f t="shared" si="1"/>
        <v>Khớp</v>
      </c>
      <c r="G12" s="40" t="s">
        <v>688</v>
      </c>
    </row>
    <row r="13" spans="2:7" ht="19.95" customHeight="1" x14ac:dyDescent="0.3">
      <c r="B13" s="40" t="s">
        <v>689</v>
      </c>
      <c r="C13" s="87">
        <v>46598</v>
      </c>
      <c r="D13" s="72">
        <f>'Hoạt động, lịch'!$D$28+(INDEX('Hoạt động, lịch'!$M$5:$M$26,MATCH("Q",'Hoạt động, lịch'!$B$5:$B$26,0))-1)*7+4</f>
        <v>46598</v>
      </c>
      <c r="E13" s="86">
        <f t="shared" si="0"/>
        <v>0</v>
      </c>
      <c r="F13" s="39" t="str">
        <f t="shared" si="1"/>
        <v>Khớp</v>
      </c>
      <c r="G13" s="40" t="s">
        <v>690</v>
      </c>
    </row>
    <row r="14" spans="2:7" ht="19.95" customHeight="1" x14ac:dyDescent="0.3">
      <c r="B14" s="40" t="s">
        <v>691</v>
      </c>
      <c r="C14" s="87">
        <v>46626</v>
      </c>
      <c r="D14" s="72">
        <f>'Hoạt động, lịch'!$D$28+(MAX(INDEX('Hoạt động, lịch'!$M$5:$M$26,MATCH("S",'Hoạt động, lịch'!$B$5:$B$26,0)),INDEX('Hoạt động, lịch'!$M$5:$M$26,MATCH("T",'Hoạt động, lịch'!$B$5:$B$26,0)))-1)*7+4</f>
        <v>46626</v>
      </c>
      <c r="E14" s="86">
        <f t="shared" si="0"/>
        <v>0</v>
      </c>
      <c r="F14" s="39" t="str">
        <f t="shared" si="1"/>
        <v>Khớp</v>
      </c>
      <c r="G14" s="40" t="s">
        <v>692</v>
      </c>
    </row>
    <row r="15" spans="2:7" x14ac:dyDescent="0.3">
      <c r="B15" s="109" t="s">
        <v>693</v>
      </c>
      <c r="C15" s="91"/>
      <c r="D15" s="91"/>
      <c r="E15" s="91"/>
      <c r="F15" s="91"/>
      <c r="G15" s="91"/>
    </row>
    <row r="16" spans="2:7" ht="19.95" customHeight="1" x14ac:dyDescent="0.3">
      <c r="B16" s="40" t="s">
        <v>694</v>
      </c>
      <c r="C16" s="58">
        <v>1500</v>
      </c>
      <c r="D16" s="44">
        <f>'Chi phí'!$J$79</f>
        <v>1500</v>
      </c>
      <c r="E16" s="88">
        <f t="shared" ref="E16:E24" si="2">D16-C16</f>
        <v>0</v>
      </c>
      <c r="F16" s="39" t="str">
        <f t="shared" ref="F16:F24" si="3">IF(ABS(E16)&lt;0.0005,"Khớp","LỆCH")</f>
        <v>Khớp</v>
      </c>
      <c r="G16" s="40" t="s">
        <v>695</v>
      </c>
    </row>
    <row r="17" spans="2:7" ht="19.95" customHeight="1" x14ac:dyDescent="0.3">
      <c r="B17" s="40" t="s">
        <v>345</v>
      </c>
      <c r="C17" s="58">
        <v>1360</v>
      </c>
      <c r="D17" s="44">
        <f>'Chi phí'!$J$77</f>
        <v>1360</v>
      </c>
      <c r="E17" s="88">
        <f t="shared" si="2"/>
        <v>0</v>
      </c>
      <c r="F17" s="39" t="str">
        <f t="shared" si="3"/>
        <v>Khớp</v>
      </c>
      <c r="G17" s="40" t="s">
        <v>696</v>
      </c>
    </row>
    <row r="18" spans="2:7" ht="19.95" customHeight="1" x14ac:dyDescent="0.3">
      <c r="B18" s="40" t="s">
        <v>474</v>
      </c>
      <c r="C18" s="58">
        <v>140</v>
      </c>
      <c r="D18" s="44">
        <f>'Chi phí'!$J$78</f>
        <v>140</v>
      </c>
      <c r="E18" s="88">
        <f t="shared" si="2"/>
        <v>0</v>
      </c>
      <c r="F18" s="39" t="str">
        <f t="shared" si="3"/>
        <v>Khớp</v>
      </c>
      <c r="G18" s="40" t="s">
        <v>697</v>
      </c>
    </row>
    <row r="19" spans="2:7" ht="19.95" customHeight="1" x14ac:dyDescent="0.3">
      <c r="B19" s="40" t="s">
        <v>269</v>
      </c>
      <c r="C19" s="58">
        <v>640</v>
      </c>
      <c r="D19" s="44">
        <f>'Chi phí'!$J$70</f>
        <v>640</v>
      </c>
      <c r="E19" s="88">
        <f t="shared" si="2"/>
        <v>0</v>
      </c>
      <c r="F19" s="39" t="str">
        <f t="shared" si="3"/>
        <v>Khớp</v>
      </c>
      <c r="G19" s="40" t="s">
        <v>698</v>
      </c>
    </row>
    <row r="20" spans="2:7" ht="19.95" customHeight="1" x14ac:dyDescent="0.3">
      <c r="B20" s="40" t="s">
        <v>304</v>
      </c>
      <c r="C20" s="58">
        <v>480</v>
      </c>
      <c r="D20" s="44">
        <f>'Chi phí'!$J$71</f>
        <v>480</v>
      </c>
      <c r="E20" s="88">
        <f t="shared" si="2"/>
        <v>0</v>
      </c>
      <c r="F20" s="39" t="str">
        <f t="shared" si="3"/>
        <v>Khớp</v>
      </c>
      <c r="G20" s="40" t="s">
        <v>698</v>
      </c>
    </row>
    <row r="21" spans="2:7" ht="19.95" customHeight="1" x14ac:dyDescent="0.3">
      <c r="B21" s="40" t="s">
        <v>699</v>
      </c>
      <c r="C21" s="58">
        <v>140</v>
      </c>
      <c r="D21" s="44">
        <f>'Chi phí'!$J$72</f>
        <v>140</v>
      </c>
      <c r="E21" s="88">
        <f t="shared" si="2"/>
        <v>0</v>
      </c>
      <c r="F21" s="39" t="str">
        <f t="shared" si="3"/>
        <v>Khớp</v>
      </c>
      <c r="G21" s="40" t="s">
        <v>698</v>
      </c>
    </row>
    <row r="22" spans="2:7" ht="19.95" customHeight="1" x14ac:dyDescent="0.3">
      <c r="B22" s="40" t="s">
        <v>119</v>
      </c>
      <c r="C22" s="58">
        <v>40</v>
      </c>
      <c r="D22" s="44">
        <f>'Chi phí'!$J$73</f>
        <v>40</v>
      </c>
      <c r="E22" s="88">
        <f t="shared" si="2"/>
        <v>0</v>
      </c>
      <c r="F22" s="39" t="str">
        <f t="shared" si="3"/>
        <v>Khớp</v>
      </c>
      <c r="G22" s="40" t="s">
        <v>698</v>
      </c>
    </row>
    <row r="23" spans="2:7" ht="19.95" customHeight="1" x14ac:dyDescent="0.3">
      <c r="B23" s="40" t="s">
        <v>339</v>
      </c>
      <c r="C23" s="58">
        <v>60</v>
      </c>
      <c r="D23" s="44">
        <f>'Chi phí'!$J$74</f>
        <v>60</v>
      </c>
      <c r="E23" s="88">
        <f t="shared" si="2"/>
        <v>0</v>
      </c>
      <c r="F23" s="39" t="str">
        <f t="shared" si="3"/>
        <v>Khớp</v>
      </c>
      <c r="G23" s="40" t="s">
        <v>698</v>
      </c>
    </row>
    <row r="24" spans="2:7" ht="19.95" customHeight="1" x14ac:dyDescent="0.3">
      <c r="B24" s="40" t="s">
        <v>700</v>
      </c>
      <c r="C24" s="58">
        <v>1360</v>
      </c>
      <c r="D24" s="44">
        <f>'Cost baseline'!$M$15</f>
        <v>1360</v>
      </c>
      <c r="E24" s="88">
        <f t="shared" si="2"/>
        <v>0</v>
      </c>
      <c r="F24" s="39" t="str">
        <f t="shared" si="3"/>
        <v>Khớp</v>
      </c>
      <c r="G24" s="40" t="s">
        <v>701</v>
      </c>
    </row>
    <row r="25" spans="2:7" x14ac:dyDescent="0.3">
      <c r="B25" s="109" t="s">
        <v>702</v>
      </c>
      <c r="C25" s="91"/>
      <c r="D25" s="91"/>
      <c r="E25" s="91"/>
      <c r="F25" s="91"/>
      <c r="G25" s="91"/>
    </row>
    <row r="26" spans="2:7" ht="19.95" customHeight="1" x14ac:dyDescent="0.3">
      <c r="B26" s="40" t="s">
        <v>703</v>
      </c>
      <c r="C26" s="54">
        <v>25</v>
      </c>
      <c r="D26" s="55">
        <f>SUMPRODUCT(--(LEN(WBS!$F$5:$F$44)&gt;0))</f>
        <v>25</v>
      </c>
      <c r="E26" s="86">
        <f>D26-C26</f>
        <v>0</v>
      </c>
      <c r="F26" s="39" t="str">
        <f>IF(ABS(E26)&lt;0.0005,"Khớp","LỆCH")</f>
        <v>Khớp</v>
      </c>
      <c r="G26" s="40" t="s">
        <v>704</v>
      </c>
    </row>
    <row r="27" spans="2:7" ht="19.95" customHeight="1" x14ac:dyDescent="0.3">
      <c r="B27" s="40" t="s">
        <v>705</v>
      </c>
      <c r="C27" s="54">
        <v>20</v>
      </c>
      <c r="D27" s="55">
        <f>COUNTA('Hoạt động, lịch'!$B$5:$B$26)-2</f>
        <v>20</v>
      </c>
      <c r="E27" s="86">
        <f>D27-C27</f>
        <v>0</v>
      </c>
      <c r="F27" s="39" t="str">
        <f>IF(ABS(E27)&lt;0.0005,"Khớp","LỆCH")</f>
        <v>Khớp</v>
      </c>
      <c r="G27" s="40" t="s">
        <v>706</v>
      </c>
    </row>
    <row r="28" spans="2:7" ht="19.95" customHeight="1" x14ac:dyDescent="0.3">
      <c r="B28" s="40" t="s">
        <v>707</v>
      </c>
      <c r="C28" s="54">
        <v>5</v>
      </c>
      <c r="D28" s="55">
        <f>COUNTIF(WBS!$F$5:$F$44,"–")</f>
        <v>5</v>
      </c>
      <c r="E28" s="86">
        <f>D28-C28</f>
        <v>0</v>
      </c>
      <c r="F28" s="39" t="str">
        <f>IF(ABS(E28)&lt;0.0005,"Khớp","LỆCH")</f>
        <v>Khớp</v>
      </c>
      <c r="G28" s="40" t="s">
        <v>708</v>
      </c>
    </row>
    <row r="29" spans="2:7" ht="19.95" customHeight="1" x14ac:dyDescent="0.3">
      <c r="B29" s="40" t="s">
        <v>709</v>
      </c>
      <c r="C29" s="54">
        <v>25</v>
      </c>
      <c r="D29" s="55">
        <f>COUNTIF('Chi phí'!$J$94:$J$118,"&gt;0")</f>
        <v>25</v>
      </c>
      <c r="E29" s="86">
        <f>D29-C29</f>
        <v>0</v>
      </c>
      <c r="F29" s="39" t="str">
        <f>IF(ABS(E29)&lt;0.0005,"Khớp","LỆCH")</f>
        <v>Khớp</v>
      </c>
      <c r="G29" s="40" t="s">
        <v>710</v>
      </c>
    </row>
    <row r="30" spans="2:7" x14ac:dyDescent="0.3">
      <c r="B30" s="109" t="s">
        <v>711</v>
      </c>
      <c r="C30" s="91"/>
      <c r="D30" s="91"/>
      <c r="E30" s="91"/>
      <c r="F30" s="91"/>
      <c r="G30" s="91"/>
    </row>
    <row r="31" spans="2:7" ht="19.95" customHeight="1" x14ac:dyDescent="0.3">
      <c r="B31" s="40" t="s">
        <v>712</v>
      </c>
      <c r="C31" s="44">
        <f>'Cost baseline'!$G$15</f>
        <v>753.83333333333337</v>
      </c>
      <c r="D31" s="44">
        <f>EVM!$E$35</f>
        <v>753.83333333333326</v>
      </c>
      <c r="E31" s="88">
        <f>D31-C31</f>
        <v>0</v>
      </c>
      <c r="F31" s="39" t="str">
        <f>IF(ABS(E31)&lt;0.0005,"Khớp","LỆCH")</f>
        <v>Khớp</v>
      </c>
      <c r="G31" s="40" t="s">
        <v>713</v>
      </c>
    </row>
    <row r="32" spans="2:7" ht="19.95" customHeight="1" x14ac:dyDescent="0.3">
      <c r="B32" s="40" t="s">
        <v>714</v>
      </c>
      <c r="C32" s="58">
        <v>300</v>
      </c>
      <c r="D32" s="44">
        <f>'Thay đổi'!$G$21</f>
        <v>300</v>
      </c>
      <c r="E32" s="88">
        <f>D32-C32</f>
        <v>0</v>
      </c>
      <c r="F32" s="39" t="str">
        <f>IF(ABS(E32)&lt;0.0005,"Khớp","LỆCH")</f>
        <v>Khớp</v>
      </c>
      <c r="G32" s="40" t="s">
        <v>715</v>
      </c>
    </row>
    <row r="33" spans="2:7" ht="19.95" customHeight="1" x14ac:dyDescent="0.3">
      <c r="B33" s="40" t="s">
        <v>716</v>
      </c>
      <c r="C33" s="54">
        <v>8</v>
      </c>
      <c r="D33" s="55">
        <f>'Thay đổi'!$D$31</f>
        <v>8</v>
      </c>
      <c r="E33" s="86">
        <f>D33-C33</f>
        <v>0</v>
      </c>
      <c r="F33" s="39" t="str">
        <f>IF(ABS(E33)&lt;0.0005,"Khớp","LỆCH")</f>
        <v>Khớp</v>
      </c>
      <c r="G33" s="40" t="s">
        <v>717</v>
      </c>
    </row>
    <row r="34" spans="2:7" ht="19.95" customHeight="1" x14ac:dyDescent="0.3">
      <c r="B34" s="40" t="s">
        <v>718</v>
      </c>
      <c r="C34" s="58">
        <v>1500</v>
      </c>
      <c r="D34" s="44">
        <f>'Dòng tiền'!$C$13</f>
        <v>1500</v>
      </c>
      <c r="E34" s="88">
        <f>D34-C34</f>
        <v>0</v>
      </c>
      <c r="F34" s="39" t="str">
        <f>IF(ABS(E34)&lt;0.0005,"Khớp","LỆCH")</f>
        <v>Khớp</v>
      </c>
      <c r="G34" s="40" t="s">
        <v>719</v>
      </c>
    </row>
    <row r="36" spans="2:7" x14ac:dyDescent="0.3">
      <c r="B36" s="59" t="s">
        <v>720</v>
      </c>
      <c r="C36" s="89">
        <f>COUNTA(F5:F34)</f>
        <v>26</v>
      </c>
    </row>
    <row r="37" spans="2:7" x14ac:dyDescent="0.3">
      <c r="B37" s="59" t="s">
        <v>721</v>
      </c>
      <c r="C37" s="89">
        <f>COUNTIF(F5:F34,"Khớp")</f>
        <v>26</v>
      </c>
    </row>
    <row r="38" spans="2:7" x14ac:dyDescent="0.3">
      <c r="B38" s="59" t="s">
        <v>722</v>
      </c>
      <c r="C38" s="114" t="str">
        <f>IF(C36=C37,"Tất cả khớp","Có điểm lệch")</f>
        <v>Tất cả khớp</v>
      </c>
      <c r="D38" s="94"/>
    </row>
  </sheetData>
  <mergeCells count="5">
    <mergeCell ref="C38:D38"/>
    <mergeCell ref="B5:G5"/>
    <mergeCell ref="B30:G30"/>
    <mergeCell ref="B15:G15"/>
    <mergeCell ref="B25:G25"/>
  </mergeCells>
  <conditionalFormatting sqref="F5:F34">
    <cfRule type="expression" dxfId="0" priority="1">
      <formula>F5="LỆCH"</formula>
    </cfRule>
  </conditionalFormatting>
  <printOptions horizontalCentered="1"/>
  <pageMargins left="0.45" right="0.45" top="0.5" bottom="0.5" header="0.3" footer="0.3"/>
  <pageSetup paperSize="9" fitToHeight="0" orientation="landscape"/>
  <headerFooter>
    <oddFooter>&amp;CTrang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11</vt:i4>
      </vt:variant>
    </vt:vector>
  </HeadingPairs>
  <TitlesOfParts>
    <vt:vector size="21" baseType="lpstr">
      <vt:lpstr>WBS</vt:lpstr>
      <vt:lpstr>Hoạt động, lịch</vt:lpstr>
      <vt:lpstr>Gantt</vt:lpstr>
      <vt:lpstr>Nguồn lực</vt:lpstr>
      <vt:lpstr>Chi phí</vt:lpstr>
      <vt:lpstr>Cost baseline</vt:lpstr>
      <vt:lpstr>Dòng tiền</vt:lpstr>
      <vt:lpstr>EVM</vt:lpstr>
      <vt:lpstr>Thay đổi</vt:lpstr>
      <vt:lpstr>Nhất quán</vt:lpstr>
      <vt:lpstr>'Chi phí'!Print_Area</vt:lpstr>
      <vt:lpstr>'Cost baseline'!Print_Area</vt:lpstr>
      <vt:lpstr>'Dòng tiền'!Print_Area</vt:lpstr>
      <vt:lpstr>EVM!Print_Area</vt:lpstr>
      <vt:lpstr>Gantt!Print_Area</vt:lpstr>
      <vt:lpstr>'Hoạt động, lịch'!Print_Area</vt:lpstr>
      <vt:lpstr>'Nguồn lực'!Print_Area</vt:lpstr>
      <vt:lpstr>'Nhất quán'!Print_Area</vt:lpstr>
      <vt:lpstr>'Thay đổi'!Print_Area</vt:lpstr>
      <vt:lpstr>WBS!Print_Area</vt:lpstr>
      <vt:lpstr>Gantt!Print_Titles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Atlas RMS – WBS, lịch, Gantt, chi phí, dòng tiền, EVM, thay đổi, nhất quán</dc:title>
  <dc:creator>Ban QLDA Atlas RMS (PM: Phạm Duy An)</dc:creator>
  <cp:lastModifiedBy>Duy An</cp:lastModifiedBy>
  <dcterms:created xsi:type="dcterms:W3CDTF">2021-12-27T22:08:03Z</dcterms:created>
  <dcterms:modified xsi:type="dcterms:W3CDTF">2026-10-24T16:40:47Z</dcterms:modified>
</cp:coreProperties>
</file>