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y lenovo\AppData\Local\Temp\claude\D--01-Projects-QLDA\80282993-9b2e-4c1f-b985-c38133849d39\scratchpad\bai2_v3\"/>
    </mc:Choice>
  </mc:AlternateContent>
  <xr:revisionPtr revIDLastSave="0" documentId="8_{747D0706-79CD-4002-986D-08D3C9A72C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- Baseline" sheetId="1" r:id="rId1"/>
    <sheet name="Gantt - Plan vs Actual" sheetId="2" r:id="rId2"/>
    <sheet name="CPM" sheetId="3" r:id="rId3"/>
  </sheets>
  <definedNames>
    <definedName name="_xlnm.Print_Area" localSheetId="2">CPM!$B$1:$N$16</definedName>
    <definedName name="_xlnm.Print_Area" localSheetId="0">'Gantt - Baseline'!$B$1:$U$15</definedName>
    <definedName name="_xlnm.Print_Area" localSheetId="1">'Gantt - Plan vs Actual'!$B$1:$V$20</definedName>
    <definedName name="_xlnm.Print_Titles" localSheetId="0">'Gantt - Baseline'!$3:$4</definedName>
    <definedName name="_xlnm.Print_Titles" localSheetId="1">'Gantt - Plan vs Actual'!$3:$4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3" l="1"/>
  <c r="D15" i="3"/>
  <c r="G5" i="3"/>
  <c r="F10" i="2"/>
  <c r="H10" i="2" s="1"/>
  <c r="D10" i="2"/>
  <c r="C10" i="2"/>
  <c r="B10" i="2"/>
  <c r="F9" i="2"/>
  <c r="H9" i="2" s="1"/>
  <c r="D9" i="2"/>
  <c r="C9" i="2"/>
  <c r="B9" i="2"/>
  <c r="F8" i="2"/>
  <c r="H8" i="2" s="1"/>
  <c r="D8" i="2"/>
  <c r="C8" i="2"/>
  <c r="B8" i="2"/>
  <c r="F7" i="2"/>
  <c r="H7" i="2" s="1"/>
  <c r="D7" i="2"/>
  <c r="C7" i="2"/>
  <c r="B7" i="2"/>
  <c r="F6" i="2"/>
  <c r="H6" i="2" s="1"/>
  <c r="D6" i="2"/>
  <c r="C6" i="2"/>
  <c r="B6" i="2"/>
  <c r="F5" i="2"/>
  <c r="H5" i="2" s="1"/>
  <c r="D5" i="2"/>
  <c r="C5" i="2"/>
  <c r="B5" i="2"/>
  <c r="F10" i="1"/>
  <c r="D10" i="1"/>
  <c r="C10" i="1"/>
  <c r="B10" i="1"/>
  <c r="F9" i="1"/>
  <c r="D9" i="1"/>
  <c r="C9" i="1"/>
  <c r="B9" i="1"/>
  <c r="F8" i="1"/>
  <c r="D8" i="1"/>
  <c r="C8" i="1"/>
  <c r="B8" i="1"/>
  <c r="F7" i="1"/>
  <c r="D7" i="1"/>
  <c r="C7" i="1"/>
  <c r="B7" i="1"/>
  <c r="F6" i="1"/>
  <c r="D6" i="1"/>
  <c r="C6" i="1"/>
  <c r="B6" i="1"/>
  <c r="F5" i="1"/>
  <c r="D5" i="1"/>
  <c r="C5" i="1"/>
  <c r="B5" i="1"/>
  <c r="E5" i="2" l="1"/>
  <c r="E5" i="1"/>
  <c r="H5" i="3"/>
  <c r="N5" i="3" s="1"/>
  <c r="G5" i="2" l="1"/>
  <c r="G6" i="3"/>
  <c r="G7" i="3"/>
  <c r="L5" i="3" s="1"/>
  <c r="I5" i="2" l="1"/>
  <c r="G6" i="2"/>
  <c r="G7" i="2"/>
  <c r="I7" i="2" s="1"/>
  <c r="H6" i="3"/>
  <c r="N6" i="3" s="1"/>
  <c r="E6" i="1"/>
  <c r="E6" i="2"/>
  <c r="H7" i="3"/>
  <c r="N7" i="3" s="1"/>
  <c r="E7" i="1"/>
  <c r="E7" i="2"/>
  <c r="I6" i="2" l="1"/>
  <c r="G8" i="2"/>
  <c r="G8" i="3"/>
  <c r="L6" i="3" s="1"/>
  <c r="I8" i="2" l="1"/>
  <c r="G9" i="2"/>
  <c r="L7" i="3"/>
  <c r="H8" i="3"/>
  <c r="N8" i="3"/>
  <c r="E8" i="1"/>
  <c r="E8" i="2"/>
  <c r="I9" i="2" l="1"/>
  <c r="G10" i="2"/>
  <c r="G9" i="3"/>
  <c r="L8" i="3"/>
  <c r="L12" i="2" l="1"/>
  <c r="Q12" i="2"/>
  <c r="M12" i="2"/>
  <c r="B16" i="2" a="1"/>
  <c r="B16" i="2" s="1"/>
  <c r="T12" i="2"/>
  <c r="H9" i="3"/>
  <c r="N9" i="3"/>
  <c r="E9" i="2"/>
  <c r="E9" i="1"/>
  <c r="I10" i="2"/>
  <c r="U12" i="2"/>
  <c r="J12" i="2"/>
  <c r="S12" i="2"/>
  <c r="O12" i="2"/>
  <c r="V12" i="2"/>
  <c r="R12" i="2"/>
  <c r="K12" i="2"/>
  <c r="N12" i="2"/>
  <c r="P12" i="2"/>
  <c r="G10" i="3" l="1"/>
  <c r="L9" i="3" s="1"/>
  <c r="H10" i="3" l="1"/>
  <c r="N10" i="3"/>
  <c r="E10" i="1"/>
  <c r="E10" i="2"/>
  <c r="D13" i="3" l="1"/>
  <c r="J10" i="3"/>
  <c r="I10" i="3" s="1"/>
  <c r="L10" i="3"/>
  <c r="O11" i="1"/>
  <c r="R11" i="1"/>
  <c r="L11" i="1"/>
  <c r="T11" i="1"/>
  <c r="B14" i="1" a="1"/>
  <c r="B14" i="1" s="1"/>
  <c r="P11" i="1"/>
  <c r="M11" i="1"/>
  <c r="K11" i="1"/>
  <c r="S11" i="1"/>
  <c r="Q11" i="1"/>
  <c r="U11" i="1"/>
  <c r="J11" i="1"/>
  <c r="N11" i="1"/>
  <c r="L11" i="2"/>
  <c r="V11" i="2"/>
  <c r="B15" i="2" a="1"/>
  <c r="B15" i="2" s="1"/>
  <c r="O11" i="2"/>
  <c r="T11" i="2"/>
  <c r="S11" i="2"/>
  <c r="P11" i="2"/>
  <c r="U11" i="2"/>
  <c r="R11" i="2"/>
  <c r="J11" i="2"/>
  <c r="Q11" i="2"/>
  <c r="K11" i="2"/>
  <c r="N11" i="2"/>
  <c r="M11" i="2"/>
  <c r="K10" i="3" l="1"/>
  <c r="M10" i="3" s="1"/>
  <c r="J9" i="3"/>
  <c r="I9" i="3" s="1"/>
  <c r="K9" i="3" l="1"/>
  <c r="M9" i="3" s="1"/>
  <c r="J8" i="3"/>
  <c r="I8" i="3" s="1"/>
  <c r="J7" i="3" l="1"/>
  <c r="I7" i="3" s="1"/>
  <c r="K7" i="3" s="1"/>
  <c r="M7" i="3" s="1"/>
  <c r="K8" i="3"/>
  <c r="M8" i="3" s="1"/>
  <c r="J6" i="3"/>
  <c r="I6" i="3" s="1"/>
  <c r="J5" i="3" l="1"/>
  <c r="I5" i="3" s="1"/>
  <c r="K5" i="3" s="1"/>
  <c r="K6" i="3"/>
  <c r="M6" i="3" s="1"/>
  <c r="M5" i="3" l="1"/>
  <c r="D14" i="3" a="1"/>
  <c r="D14" i="3" s="1"/>
  <c r="B15" i="1" s="1"/>
</calcChain>
</file>

<file path=xl/sharedStrings.xml><?xml version="1.0" encoding="utf-8"?>
<sst xmlns="http://schemas.openxmlformats.org/spreadsheetml/2006/main" count="83" uniqueCount="60">
  <si>
    <t>Dự án Web E-commerce – StartCorp</t>
  </si>
  <si>
    <t>Gantt chart BASELINE · 1 period = 1 tuần · dự án bắt đầu Tuần 1</t>
  </si>
  <si>
    <t>Period Highlight:</t>
  </si>
  <si>
    <t>ACTIVITY</t>
  </si>
  <si>
    <t>PREDECESSOR</t>
  </si>
  <si>
    <t>RESOURCE</t>
  </si>
  <si>
    <t>PLAN START</t>
  </si>
  <si>
    <t>PLAN DURATION</t>
  </si>
  <si>
    <t>ACTUAL START</t>
  </si>
  <si>
    <t>ACTUAL DURATION</t>
  </si>
  <si>
    <t>% COMPLETE</t>
  </si>
  <si>
    <t>TUẦN</t>
  </si>
  <si>
    <t>Số activity chạy đồng thời (Plan)</t>
  </si>
  <si>
    <t>Legend</t>
  </si>
  <si>
    <t>Plan</t>
  </si>
  <si>
    <t>Period Highlight</t>
  </si>
  <si>
    <t>PLAN vs ACTUAL: C kéo dài thêm 1 tuần (sự cố tại Tuần 4) · Actual = đã làm + re-forecast</t>
  </si>
  <si>
    <t>Số activity chạy đồng thời (Actual)</t>
  </si>
  <si>
    <t>Plan (khoảng không còn thực hiện)</t>
  </si>
  <si>
    <t>Actual (trong plan)</t>
  </si>
  <si>
    <t>Actual (beyond plan) – phần trễ</t>
  </si>
  <si>
    <t>Delay theo kịch bản (tuần, + trễ / − rút ngắn):</t>
  </si>
  <si>
    <t>% Complete</t>
  </si>
  <si>
    <t>C</t>
  </si>
  <si>
    <t>% Complete (beyond plan)</t>
  </si>
  <si>
    <t>Bảng tính CPM – Critical Path</t>
  </si>
  <si>
    <t>Quy ước: ES(first) = 0 (đầu Tuần 1) · EF = ES + Duration · ES = max(EF các Predecessor) · LS = LF − Duration · LF = min(LS các Successor) · Total Slack = LS − ES · Free Slack = min(ES Successor) − EF</t>
  </si>
  <si>
    <t>ID</t>
  </si>
  <si>
    <t>DURATION (TUẦN)</t>
  </si>
  <si>
    <t>ES</t>
  </si>
  <si>
    <t>EF</t>
  </si>
  <si>
    <t>LS</t>
  </si>
  <si>
    <t>LF</t>
  </si>
  <si>
    <t>TOTAL SLACK</t>
  </si>
  <si>
    <t>FREE SLACK</t>
  </si>
  <si>
    <t>CRITICAL?</t>
  </si>
  <si>
    <t>A</t>
  </si>
  <si>
    <t>Khảo sát &amp; Phân tích yêu cầu (SRS)</t>
  </si>
  <si>
    <t>—</t>
  </si>
  <si>
    <t>Business Analyst (BA)</t>
  </si>
  <si>
    <t>B</t>
  </si>
  <si>
    <t>Thiết kế giao diện UI/UX</t>
  </si>
  <si>
    <t>UI/UX Designer</t>
  </si>
  <si>
    <t>Xây dựng CSDL &amp; Backend</t>
  </si>
  <si>
    <t>Backend Developer</t>
  </si>
  <si>
    <t>D</t>
  </si>
  <si>
    <t>Lập trình tính năng Frontend</t>
  </si>
  <si>
    <t>B, C</t>
  </si>
  <si>
    <t>Frontend Developer</t>
  </si>
  <si>
    <t>E</t>
  </si>
  <si>
    <t>Kiểm thử tích hợp &amp; Sửa lỗi (UAT)</t>
  </si>
  <si>
    <t>Tester &amp; Developer</t>
  </si>
  <si>
    <t>F</t>
  </si>
  <si>
    <t>Đóng gói &amp; Triển khai Production</t>
  </si>
  <si>
    <t>DevOps Engineer</t>
  </si>
  <si>
    <t>Activity diễn ra từ Tuần ES+1 đến hết Tuần EF · Cột ID → Resource: dữ liệu đề bài; các cột còn lại tính bằng công thức.</t>
  </si>
  <si>
    <t>Project duration (tuần)</t>
  </si>
  <si>
    <t>Critical Path (Total Slack = 0)</t>
  </si>
  <si>
    <t>Path A → C → D → E → F (tuần)</t>
  </si>
  <si>
    <t>Path A → B → D → E → F (tuần)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</si>
</sst>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28"/>
      <color theme="7"/>
      <name val="Corbel"/>
      <scheme val="major"/>
    </font>
    <font>
      <i/>
      <sz val="11"/>
      <color theme="7"/>
      <name val="Calibri"/>
    </font>
    <font>
      <b/>
      <sz val="12"/>
      <color theme="1" tint="0.24994659260841701"/>
      <name val="Calibri"/>
    </font>
    <font>
      <b/>
      <sz val="11"/>
      <color theme="1" tint="0.24994659260841701"/>
      <name val="Calibri"/>
    </font>
    <font>
      <i/>
      <sz val="12"/>
      <color theme="7"/>
      <name val="Calibri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/>
      <bottom style="thin">
        <color theme="7"/>
      </bottom>
      <diagonal/>
    </border>
  </borders>
  <cellStyleXfs count="18">
    <xf numFmtId="0" fontId="0" fillId="0" borderId="0">
      <alignment horizontal="center" vertical="center"/>
    </xf>
    <xf numFmtId="0" fontId="2" fillId="0" borderId="0">
      <alignment horizontal="left" wrapText="1"/>
    </xf>
    <xf numFmtId="3" fontId="9" fillId="0" borderId="2">
      <alignment horizontal="center"/>
    </xf>
    <xf numFmtId="0" fontId="9" fillId="0" borderId="0">
      <alignment horizontal="center" wrapText="1"/>
    </xf>
    <xf numFmtId="0" fontId="1" fillId="0" borderId="0">
      <alignment horizontal="left" vertical="center"/>
    </xf>
    <xf numFmtId="9" fontId="3" fillId="0" borderId="0">
      <alignment horizontal="center" vertical="center"/>
    </xf>
    <xf numFmtId="0" fontId="8" fillId="6" borderId="1">
      <alignment horizontal="left" vertical="center"/>
    </xf>
    <xf numFmtId="0" fontId="7" fillId="0" borderId="0">
      <alignment vertical="center"/>
    </xf>
    <xf numFmtId="0" fontId="9" fillId="0" borderId="0">
      <alignment vertical="center"/>
    </xf>
    <xf numFmtId="0" fontId="9" fillId="0" borderId="0">
      <alignment horizontal="center" vertical="center" wrapText="1"/>
    </xf>
    <xf numFmtId="0" fontId="9" fillId="0" borderId="0">
      <alignment horizontal="left"/>
    </xf>
    <xf numFmtId="0" fontId="11" fillId="0" borderId="0">
      <alignment vertical="center"/>
    </xf>
    <xf numFmtId="1" fontId="12" fillId="6" borderId="1">
      <alignment horizontal="center" vertical="center"/>
    </xf>
    <xf numFmtId="0" fontId="10" fillId="2" borderId="4">
      <alignment horizontal="center"/>
    </xf>
    <xf numFmtId="0" fontId="10" fillId="3" borderId="3">
      <alignment horizontal="center"/>
    </xf>
    <xf numFmtId="0" fontId="10" fillId="4" borderId="3">
      <alignment horizontal="center"/>
    </xf>
    <xf numFmtId="0" fontId="10" fillId="5" borderId="3">
      <alignment horizontal="center"/>
    </xf>
    <xf numFmtId="0" fontId="10" fillId="7" borderId="3">
      <alignment horizontal="center"/>
    </xf>
  </cellStyleXfs>
  <cellXfs count="34">
    <xf numFmtId="0" fontId="0" fillId="0" borderId="0" xfId="0">
      <alignment horizontal="center" vertical="center"/>
    </xf>
    <xf numFmtId="3" fontId="9" fillId="0" borderId="2" xfId="2">
      <alignment horizontal="center"/>
    </xf>
    <xf numFmtId="0" fontId="4" fillId="0" borderId="0" xfId="1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5" applyFont="1">
      <alignment horizontal="center" vertical="center"/>
    </xf>
    <xf numFmtId="0" fontId="0" fillId="0" borderId="0" xfId="0" applyAlignment="1">
      <alignment horizontal="center" wrapText="1"/>
    </xf>
    <xf numFmtId="0" fontId="7" fillId="0" borderId="0" xfId="7">
      <alignment vertical="center"/>
    </xf>
    <xf numFmtId="1" fontId="12" fillId="6" borderId="1" xfId="12">
      <alignment horizontal="center" vertical="center"/>
    </xf>
    <xf numFmtId="0" fontId="0" fillId="2" borderId="4" xfId="13" applyFont="1">
      <alignment horizontal="center"/>
    </xf>
    <xf numFmtId="0" fontId="0" fillId="3" borderId="3" xfId="14" applyFont="1">
      <alignment horizontal="center"/>
    </xf>
    <xf numFmtId="0" fontId="0" fillId="4" borderId="3" xfId="15" applyFont="1">
      <alignment horizontal="center"/>
    </xf>
    <xf numFmtId="0" fontId="0" fillId="5" borderId="3" xfId="16" applyFont="1">
      <alignment horizontal="center"/>
    </xf>
    <xf numFmtId="0" fontId="0" fillId="7" borderId="3" xfId="17" applyFont="1">
      <alignment horizontal="center"/>
    </xf>
    <xf numFmtId="0" fontId="9" fillId="0" borderId="0" xfId="10">
      <alignment horizontal="left"/>
    </xf>
    <xf numFmtId="0" fontId="11" fillId="0" borderId="0" xfId="11">
      <alignment vertical="center"/>
    </xf>
    <xf numFmtId="0" fontId="0" fillId="0" borderId="0" xfId="0" applyAlignment="1"/>
    <xf numFmtId="0" fontId="16" fillId="0" borderId="0" xfId="0" applyFont="1" applyAlignment="1">
      <alignment horizontal="right" vertical="center"/>
    </xf>
    <xf numFmtId="0" fontId="5" fillId="0" borderId="0" xfId="0" applyFont="1">
      <alignment horizontal="center" vertical="center"/>
    </xf>
    <xf numFmtId="0" fontId="17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5" fillId="0" borderId="0" xfId="0" applyFont="1" applyAlignment="1">
      <alignment horizontal="right"/>
    </xf>
    <xf numFmtId="0" fontId="13" fillId="0" borderId="0" xfId="7" applyFont="1">
      <alignment vertical="center"/>
    </xf>
    <xf numFmtId="0" fontId="4" fillId="0" borderId="0" xfId="1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5" xfId="1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9" fillId="0" borderId="2" xfId="9" applyBorder="1">
      <alignment horizontal="center" vertical="center" wrapText="1"/>
    </xf>
    <xf numFmtId="0" fontId="0" fillId="0" borderId="2" xfId="0" applyBorder="1" applyAlignment="1"/>
    <xf numFmtId="0" fontId="9" fillId="0" borderId="2" xfId="8" applyBorder="1">
      <alignment vertical="center"/>
    </xf>
    <xf numFmtId="0" fontId="8" fillId="6" borderId="1" xfId="6">
      <alignment horizontal="left" vertical="center"/>
    </xf>
    <xf numFmtId="0" fontId="0" fillId="0" borderId="1" xfId="0" applyBorder="1" applyAlignment="1"/>
    <xf numFmtId="1" fontId="12" fillId="6" borderId="1" xfId="12">
      <alignment horizontal="center" vertical="center"/>
    </xf>
  </cellXfs>
  <cellStyles count="18">
    <cellStyle name="% complete" xfId="15" xr:uid="{00000000-0005-0000-0000-000010000000}"/>
    <cellStyle name="% complete (beyond plan) legend" xfId="17" xr:uid="{00000000-0005-0000-0000-000012000000}"/>
    <cellStyle name="Activity" xfId="1" xr:uid="{00000000-0005-0000-0000-000002000000}"/>
    <cellStyle name="Actual (beyond plan) legend" xfId="16" xr:uid="{00000000-0005-0000-0000-000011000000}"/>
    <cellStyle name="Actual legend" xfId="14" xr:uid="{00000000-0005-0000-0000-00000F000000}"/>
    <cellStyle name="Explanatory Text" xfId="11" builtinId="53"/>
    <cellStyle name="Heading 2" xfId="8" builtinId="17"/>
    <cellStyle name="Heading 3" xfId="9" builtinId="18"/>
    <cellStyle name="Heading 4" xfId="10" builtinId="19"/>
    <cellStyle name="Label" xfId="4" xr:uid="{00000000-0005-0000-0000-000005000000}"/>
    <cellStyle name="Normal" xfId="0" builtinId="0"/>
    <cellStyle name="Percent Complete" xfId="5" xr:uid="{00000000-0005-0000-0000-000006000000}"/>
    <cellStyle name="Period Headers" xfId="2" xr:uid="{00000000-0005-0000-0000-000003000000}"/>
    <cellStyle name="Period Highlight Control" xfId="6" xr:uid="{00000000-0005-0000-0000-000007000000}"/>
    <cellStyle name="Period Value" xfId="12" xr:uid="{00000000-0005-0000-0000-00000D000000}"/>
    <cellStyle name="Plan legend" xfId="13" xr:uid="{00000000-0005-0000-0000-00000E000000}"/>
    <cellStyle name="Project Headers" xfId="3" xr:uid="{00000000-0005-0000-0000-000004000000}"/>
    <cellStyle name="Title" xfId="7" builtinId="15"/>
  </cellStyles>
  <dxfs count="26">
    <dxf>
      <font>
        <b/>
        <color theme="8"/>
      </font>
    </dxf>
    <dxf>
      <font>
        <b/>
        <color theme="8"/>
      </font>
    </dxf>
    <dxf>
      <font>
        <b/>
        <color theme="8"/>
      </font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ont>
        <b/>
        <color theme="8"/>
      </font>
    </dxf>
    <dxf>
      <font>
        <b/>
        <color theme="8"/>
      </font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ont>
        <b/>
        <color theme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U15"/>
  <sheetViews>
    <sheetView showGridLines="0" tabSelected="1" workbookViewId="0"/>
  </sheetViews>
  <sheetFormatPr defaultRowHeight="30" customHeight="1" x14ac:dyDescent="0.3"/>
  <cols>
    <col min="1" max="1" width="2.6640625" style="15" customWidth="1"/>
    <col min="2" max="2" width="43" style="15" customWidth="1"/>
    <col min="3" max="3" width="13.44140625" style="15" customWidth="1"/>
    <col min="4" max="4" width="21" style="15" customWidth="1"/>
    <col min="5" max="5" width="10" style="15" customWidth="1"/>
    <col min="6" max="6" width="10.44140625" style="15" customWidth="1"/>
    <col min="7" max="7" width="10" style="15" hidden="1" customWidth="1"/>
    <col min="8" max="8" width="10.44140625" style="15" hidden="1" customWidth="1"/>
    <col min="9" max="9" width="11.44140625" style="15" hidden="1" customWidth="1"/>
    <col min="10" max="21" width="5.44140625" style="15" customWidth="1"/>
  </cols>
  <sheetData>
    <row r="1" spans="2:21" ht="60" customHeight="1" x14ac:dyDescent="0.3">
      <c r="B1" s="6" t="s">
        <v>0</v>
      </c>
    </row>
    <row r="2" spans="2:21" ht="21" customHeight="1" x14ac:dyDescent="0.3">
      <c r="B2" s="14" t="s">
        <v>1</v>
      </c>
      <c r="E2" s="31" t="s">
        <v>2</v>
      </c>
      <c r="F2" s="32"/>
      <c r="G2" s="32"/>
      <c r="H2" s="32"/>
      <c r="I2" s="32"/>
      <c r="J2" s="7">
        <v>6</v>
      </c>
    </row>
    <row r="3" spans="2:21" ht="39.9" customHeight="1" x14ac:dyDescent="0.3">
      <c r="B3" s="30" t="s">
        <v>3</v>
      </c>
      <c r="C3" s="28" t="s">
        <v>4</v>
      </c>
      <c r="D3" s="28" t="s">
        <v>5</v>
      </c>
      <c r="E3" s="28" t="s">
        <v>6</v>
      </c>
      <c r="F3" s="28" t="s">
        <v>7</v>
      </c>
      <c r="G3" s="28" t="s">
        <v>8</v>
      </c>
      <c r="H3" s="28" t="s">
        <v>9</v>
      </c>
      <c r="I3" s="28" t="s">
        <v>10</v>
      </c>
      <c r="J3" s="13" t="s">
        <v>11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2:21" ht="15.75" customHeight="1" x14ac:dyDescent="0.3">
      <c r="B4" s="29"/>
      <c r="C4" s="29"/>
      <c r="D4" s="29"/>
      <c r="E4" s="29"/>
      <c r="F4" s="29"/>
      <c r="G4" s="29"/>
      <c r="H4" s="29"/>
      <c r="I4" s="29"/>
      <c r="J4" s="1">
        <v>1</v>
      </c>
      <c r="K4" s="1">
        <v>2</v>
      </c>
      <c r="L4" s="1">
        <v>3</v>
      </c>
      <c r="M4" s="1">
        <v>4</v>
      </c>
      <c r="N4" s="1">
        <v>5</v>
      </c>
      <c r="O4" s="1">
        <v>6</v>
      </c>
      <c r="P4" s="1">
        <v>7</v>
      </c>
      <c r="Q4" s="1">
        <v>8</v>
      </c>
      <c r="R4" s="1">
        <v>9</v>
      </c>
      <c r="S4" s="1">
        <v>10</v>
      </c>
      <c r="T4" s="1">
        <v>11</v>
      </c>
      <c r="U4" s="1">
        <v>12</v>
      </c>
    </row>
    <row r="5" spans="2:21" ht="30" customHeight="1" x14ac:dyDescent="0.35">
      <c r="B5" s="2" t="str">
        <f>CPM!$B5&amp;". "&amp;CPM!$C5</f>
        <v>A. Khảo sát &amp; Phân tích yêu cầu (SRS)</v>
      </c>
      <c r="C5" s="3" t="str">
        <f>CPM!$D5</f>
        <v>—</v>
      </c>
      <c r="D5" s="3" t="str">
        <f>CPM!$F5</f>
        <v>Business Analyst (BA)</v>
      </c>
      <c r="E5" s="3">
        <f>CPM!$G5+1</f>
        <v>1</v>
      </c>
      <c r="F5" s="3">
        <f>CPM!$E5</f>
        <v>2</v>
      </c>
      <c r="G5" s="3"/>
      <c r="H5" s="3"/>
      <c r="I5" s="4"/>
    </row>
    <row r="6" spans="2:21" ht="30" customHeight="1" x14ac:dyDescent="0.35">
      <c r="B6" s="2" t="str">
        <f>CPM!$B6&amp;". "&amp;CPM!$C6</f>
        <v>B. Thiết kế giao diện UI/UX</v>
      </c>
      <c r="C6" s="3" t="str">
        <f>CPM!$D6</f>
        <v>A</v>
      </c>
      <c r="D6" s="3" t="str">
        <f>CPM!$F6</f>
        <v>UI/UX Designer</v>
      </c>
      <c r="E6" s="3">
        <f>CPM!$G6+1</f>
        <v>3</v>
      </c>
      <c r="F6" s="3">
        <f>CPM!$E6</f>
        <v>3</v>
      </c>
      <c r="G6" s="3"/>
      <c r="H6" s="3"/>
      <c r="I6" s="4"/>
    </row>
    <row r="7" spans="2:21" ht="30" customHeight="1" x14ac:dyDescent="0.35">
      <c r="B7" s="2" t="str">
        <f>CPM!$B7&amp;". "&amp;CPM!$C7</f>
        <v>C. Xây dựng CSDL &amp; Backend</v>
      </c>
      <c r="C7" s="3" t="str">
        <f>CPM!$D7</f>
        <v>A</v>
      </c>
      <c r="D7" s="3" t="str">
        <f>CPM!$F7</f>
        <v>Backend Developer</v>
      </c>
      <c r="E7" s="3">
        <f>CPM!$G7+1</f>
        <v>3</v>
      </c>
      <c r="F7" s="3">
        <f>CPM!$E7</f>
        <v>4</v>
      </c>
      <c r="G7" s="3"/>
      <c r="H7" s="3"/>
      <c r="I7" s="4"/>
    </row>
    <row r="8" spans="2:21" ht="30" customHeight="1" x14ac:dyDescent="0.35">
      <c r="B8" s="2" t="str">
        <f>CPM!$B8&amp;". "&amp;CPM!$C8</f>
        <v>D. Lập trình tính năng Frontend</v>
      </c>
      <c r="C8" s="3" t="str">
        <f>CPM!$D8</f>
        <v>B, C</v>
      </c>
      <c r="D8" s="3" t="str">
        <f>CPM!$F8</f>
        <v>Frontend Developer</v>
      </c>
      <c r="E8" s="3">
        <f>CPM!$G8+1</f>
        <v>7</v>
      </c>
      <c r="F8" s="3">
        <f>CPM!$E8</f>
        <v>3</v>
      </c>
      <c r="G8" s="3"/>
      <c r="H8" s="3"/>
      <c r="I8" s="4"/>
    </row>
    <row r="9" spans="2:21" ht="30" customHeight="1" x14ac:dyDescent="0.35">
      <c r="B9" s="2" t="str">
        <f>CPM!$B9&amp;". "&amp;CPM!$C9</f>
        <v>E. Kiểm thử tích hợp &amp; Sửa lỗi (UAT)</v>
      </c>
      <c r="C9" s="3" t="str">
        <f>CPM!$D9</f>
        <v>D</v>
      </c>
      <c r="D9" s="3" t="str">
        <f>CPM!$F9</f>
        <v>Tester &amp; Developer</v>
      </c>
      <c r="E9" s="3">
        <f>CPM!$G9+1</f>
        <v>10</v>
      </c>
      <c r="F9" s="3">
        <f>CPM!$E9</f>
        <v>2</v>
      </c>
      <c r="G9" s="3"/>
      <c r="H9" s="3"/>
      <c r="I9" s="4"/>
    </row>
    <row r="10" spans="2:21" ht="30" customHeight="1" x14ac:dyDescent="0.35">
      <c r="B10" s="2" t="str">
        <f>CPM!$B10&amp;". "&amp;CPM!$C10</f>
        <v>F. Đóng gói &amp; Triển khai Production</v>
      </c>
      <c r="C10" s="3" t="str">
        <f>CPM!$D10</f>
        <v>E</v>
      </c>
      <c r="D10" s="3" t="str">
        <f>CPM!$F10</f>
        <v>DevOps Engineer</v>
      </c>
      <c r="E10" s="3">
        <f>CPM!$G10+1</f>
        <v>12</v>
      </c>
      <c r="F10" s="3">
        <f>CPM!$E10</f>
        <v>1</v>
      </c>
      <c r="G10" s="3"/>
      <c r="H10" s="3"/>
      <c r="I10" s="4"/>
    </row>
    <row r="11" spans="2:21" ht="22.05" customHeight="1" x14ac:dyDescent="0.3">
      <c r="B11" s="16" t="s">
        <v>12</v>
      </c>
      <c r="J11" s="17">
        <f t="shared" ref="J11:U11" si="0">SUMPRODUCT((J$4&gt;=$E$5:$E$10)*(J$4&lt;=$E$5:$E$10+$F$5:$F$10-1))</f>
        <v>1</v>
      </c>
      <c r="K11" s="17">
        <f t="shared" si="0"/>
        <v>1</v>
      </c>
      <c r="L11" s="17">
        <f t="shared" si="0"/>
        <v>2</v>
      </c>
      <c r="M11" s="17">
        <f t="shared" si="0"/>
        <v>2</v>
      </c>
      <c r="N11" s="17">
        <f t="shared" si="0"/>
        <v>2</v>
      </c>
      <c r="O11" s="17">
        <f t="shared" si="0"/>
        <v>1</v>
      </c>
      <c r="P11" s="17">
        <f t="shared" si="0"/>
        <v>1</v>
      </c>
      <c r="Q11" s="17">
        <f t="shared" si="0"/>
        <v>1</v>
      </c>
      <c r="R11" s="17">
        <f t="shared" si="0"/>
        <v>1</v>
      </c>
      <c r="S11" s="17">
        <f t="shared" si="0"/>
        <v>1</v>
      </c>
      <c r="T11" s="17">
        <f t="shared" si="0"/>
        <v>1</v>
      </c>
      <c r="U11" s="17">
        <f t="shared" si="0"/>
        <v>1</v>
      </c>
    </row>
    <row r="12" spans="2:21" ht="7.95" customHeight="1" x14ac:dyDescent="0.3"/>
    <row r="13" spans="2:21" ht="18" customHeight="1" x14ac:dyDescent="0.3">
      <c r="J13" s="13" t="s">
        <v>13</v>
      </c>
    </row>
    <row r="14" spans="2:21" ht="21" customHeight="1" x14ac:dyDescent="0.3">
      <c r="B14" s="18" t="str">
        <f t="array" ref="B14">"Tuần "&amp;$J$2&amp;": đang thực hiện "&amp;_xlfn.TEXTJOIN(", ",TRUE,IF(($J$2&gt;=E5:E10)*($J$2&lt;=E5:E10+F5:F10-1),CPM!$B$5:$B$10,""))&amp;" ("&amp;SUMPRODUCT(($J$2&gt;=E5:E10)*($J$2&lt;=E5:E10+F5:F10-1))&amp;" activity)"</f>
        <v>Tuần 6: đang thực hiện C (1 activity)</v>
      </c>
      <c r="J14" s="8"/>
      <c r="K14" s="19" t="s">
        <v>14</v>
      </c>
    </row>
    <row r="15" spans="2:21" ht="21" customHeight="1" x14ac:dyDescent="0.3">
      <c r="B15" s="18" t="str">
        <f>"Critical Path: "&amp;CPM!$D$14&amp;" · Project duration: "&amp;CPM!$D$13&amp;" tuần · tên màu cam = critical activity"</f>
        <v>Critical Path: A → C → D → E → F · Project duration: 12 tuần · tên màu cam = critical activity</v>
      </c>
      <c r="J15" s="7"/>
      <c r="K15" s="19" t="s">
        <v>15</v>
      </c>
    </row>
  </sheetData>
  <mergeCells count="9">
    <mergeCell ref="C3:C4"/>
    <mergeCell ref="B3:B4"/>
    <mergeCell ref="G3:G4"/>
    <mergeCell ref="E3:E4"/>
    <mergeCell ref="E2:I2"/>
    <mergeCell ref="H3:H4"/>
    <mergeCell ref="F3:F4"/>
    <mergeCell ref="D3:D4"/>
    <mergeCell ref="I3:I4"/>
  </mergeCells>
  <conditionalFormatting sqref="B11:U11">
    <cfRule type="expression" dxfId="24" priority="2">
      <formula>TRUE</formula>
    </cfRule>
  </conditionalFormatting>
  <conditionalFormatting sqref="J4:U4">
    <cfRule type="expression" dxfId="23" priority="8">
      <formula>J$4=$J$2</formula>
    </cfRule>
  </conditionalFormatting>
  <conditionalFormatting sqref="J5:U10">
    <cfRule type="expression" dxfId="22" priority="1">
      <formula>((J$4=MEDIAN(J$4,$G5,$G5+$H5)*($G5&gt;0))*((J$4&lt;(INT($G5+$H5*$I5)))+(J$4=$G5))*($I5&gt;0))*(J$4=MEDIAN(J$4,$E5,$E5+$F5-1))</formula>
    </cfRule>
    <cfRule type="expression" dxfId="21" priority="3">
      <formula>(J$4=MEDIAN(J$4,$G5,$G5+$H5)*($G5&gt;0))*((J$4&lt;(INT($G5+$H5*$I5)))+(J$4=$G5))*($I5&gt;0)</formula>
    </cfRule>
    <cfRule type="expression" dxfId="20" priority="4">
      <formula>((J$4=MEDIAN(J$4,$G5,$G5+$H5-1))*($G5&gt;0))*(J$4=MEDIAN(J$4,$E5,$E5+$F5-1))</formula>
    </cfRule>
    <cfRule type="expression" dxfId="19" priority="5">
      <formula>(J$4=MEDIAN(J$4,$G5,$G5+$H5-1))*($G5&gt;0)</formula>
    </cfRule>
    <cfRule type="expression" dxfId="18" priority="6">
      <formula>(J$4=MEDIAN(J$4,$E5,$E5+$F5-1))*($E5&gt;0)</formula>
    </cfRule>
    <cfRule type="expression" dxfId="17" priority="11">
      <formula>MOD(COLUMN(),2)</formula>
    </cfRule>
    <cfRule type="expression" dxfId="16" priority="12">
      <formula>MOD(COLUMN(),2)=0</formula>
    </cfRule>
  </conditionalFormatting>
  <conditionalFormatting sqref="J5:U11">
    <cfRule type="expression" dxfId="15" priority="7">
      <formula>J$4=$J$2</formula>
    </cfRule>
  </conditionalFormatting>
  <conditionalFormatting sqref="J11:U11">
    <cfRule type="expression" dxfId="14" priority="10">
      <formula>J11&gt;=2</formula>
    </cfRule>
  </conditionalFormatting>
  <dataValidations count="1">
    <dataValidation type="list" errorStyle="warning" allowBlank="1" showErrorMessage="1" error="Nhập số tuần từ 1 đến 12." promptTitle="Period Highlight" prompt="Chọn tuần 1–12 để highlight cột đó trên Gantt chart." sqref="J2" xr:uid="{00000000-0002-0000-0000-000000000000}">
      <formula1>"1,2,3,4,5,6,7,8,9,10,11,12"</formula1>
    </dataValidation>
  </dataValidations>
  <printOptions horizontalCentered="1"/>
  <pageMargins left="0.45" right="0.45" top="0.5" bottom="0.5" header="0.3" footer="0.3"/>
  <pageSetup paperSize="9" fitToHeight="0" orientation="landscape"/>
  <headerFooter>
    <oddFooter>&amp;CTrang &amp;P /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00000000-000E-0000-0000-000009000000}">
            <xm:f>ABS(CPM!$K5)&lt;0.0001</xm:f>
            <x14:dxf>
              <font>
                <b/>
                <color theme="8"/>
              </font>
            </x14:dxf>
          </x14:cfRule>
          <xm:sqref>B5:B10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  <pageSetUpPr fitToPage="1"/>
  </sheetPr>
  <dimension ref="A1:V20"/>
  <sheetViews>
    <sheetView showGridLines="0" workbookViewId="0"/>
  </sheetViews>
  <sheetFormatPr defaultRowHeight="30" customHeight="1" x14ac:dyDescent="0.3"/>
  <cols>
    <col min="1" max="1" width="2.6640625" style="15" customWidth="1"/>
    <col min="2" max="2" width="43" style="15" customWidth="1"/>
    <col min="3" max="3" width="13.44140625" style="15" customWidth="1"/>
    <col min="4" max="4" width="21" style="15" customWidth="1"/>
    <col min="5" max="5" width="10" style="15" customWidth="1"/>
    <col min="6" max="6" width="10.44140625" style="15" customWidth="1"/>
    <col min="7" max="7" width="10" style="15" customWidth="1"/>
    <col min="8" max="8" width="10.44140625" style="15" customWidth="1"/>
    <col min="9" max="9" width="11.44140625" style="15" customWidth="1"/>
    <col min="10" max="22" width="5.44140625" style="15" customWidth="1"/>
  </cols>
  <sheetData>
    <row r="1" spans="2:22" ht="60" customHeight="1" x14ac:dyDescent="0.3">
      <c r="B1" s="6" t="s">
        <v>0</v>
      </c>
    </row>
    <row r="2" spans="2:22" ht="21" customHeight="1" x14ac:dyDescent="0.3">
      <c r="B2" s="14" t="s">
        <v>16</v>
      </c>
      <c r="H2" s="31" t="s">
        <v>2</v>
      </c>
      <c r="I2" s="32"/>
      <c r="J2" s="7">
        <v>4</v>
      </c>
    </row>
    <row r="3" spans="2:22" ht="39.9" customHeight="1" x14ac:dyDescent="0.3">
      <c r="B3" s="30" t="s">
        <v>3</v>
      </c>
      <c r="C3" s="28" t="s">
        <v>4</v>
      </c>
      <c r="D3" s="28" t="s">
        <v>5</v>
      </c>
      <c r="E3" s="28" t="s">
        <v>6</v>
      </c>
      <c r="F3" s="28" t="s">
        <v>7</v>
      </c>
      <c r="G3" s="28" t="s">
        <v>8</v>
      </c>
      <c r="H3" s="28" t="s">
        <v>9</v>
      </c>
      <c r="I3" s="28" t="s">
        <v>10</v>
      </c>
      <c r="J3" s="13" t="s">
        <v>11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2:22" ht="15.75" customHeight="1" x14ac:dyDescent="0.3">
      <c r="B4" s="29"/>
      <c r="C4" s="29"/>
      <c r="D4" s="29"/>
      <c r="E4" s="29"/>
      <c r="F4" s="29"/>
      <c r="G4" s="29"/>
      <c r="H4" s="29"/>
      <c r="I4" s="29"/>
      <c r="J4" s="1">
        <v>1</v>
      </c>
      <c r="K4" s="1">
        <v>2</v>
      </c>
      <c r="L4" s="1">
        <v>3</v>
      </c>
      <c r="M4" s="1">
        <v>4</v>
      </c>
      <c r="N4" s="1">
        <v>5</v>
      </c>
      <c r="O4" s="1">
        <v>6</v>
      </c>
      <c r="P4" s="1">
        <v>7</v>
      </c>
      <c r="Q4" s="1">
        <v>8</v>
      </c>
      <c r="R4" s="1">
        <v>9</v>
      </c>
      <c r="S4" s="1">
        <v>10</v>
      </c>
      <c r="T4" s="1">
        <v>11</v>
      </c>
      <c r="U4" s="1">
        <v>12</v>
      </c>
      <c r="V4" s="1">
        <v>13</v>
      </c>
    </row>
    <row r="5" spans="2:22" ht="30" customHeight="1" x14ac:dyDescent="0.35">
      <c r="B5" s="2" t="str">
        <f>CPM!$B5&amp;". "&amp;CPM!$C5</f>
        <v>A. Khảo sát &amp; Phân tích yêu cầu (SRS)</v>
      </c>
      <c r="C5" s="3" t="str">
        <f>CPM!$D5</f>
        <v>—</v>
      </c>
      <c r="D5" s="3" t="str">
        <f>CPM!$F5</f>
        <v>Business Analyst (BA)</v>
      </c>
      <c r="E5" s="3">
        <f>CPM!$G5+1</f>
        <v>1</v>
      </c>
      <c r="F5" s="3">
        <f>CPM!$E5</f>
        <v>2</v>
      </c>
      <c r="G5" s="3">
        <f>E5</f>
        <v>1</v>
      </c>
      <c r="H5" s="3">
        <f>F5+SUMIF($B$19:$B$19,CPM!$B5,$C$19:$C$19)</f>
        <v>2</v>
      </c>
      <c r="I5" s="4">
        <f t="shared" ref="I5:I10" si="0">IF(H5=0,IF($J$2&gt;=G5,1,0),IF($J$2&lt;G5,0,MIN(1,($J$2-G5+1)/H5)))</f>
        <v>1</v>
      </c>
    </row>
    <row r="6" spans="2:22" ht="30" customHeight="1" x14ac:dyDescent="0.35">
      <c r="B6" s="2" t="str">
        <f>CPM!$B6&amp;". "&amp;CPM!$C6</f>
        <v>B. Thiết kế giao diện UI/UX</v>
      </c>
      <c r="C6" s="3" t="str">
        <f>CPM!$D6</f>
        <v>A</v>
      </c>
      <c r="D6" s="3" t="str">
        <f>CPM!$F6</f>
        <v>UI/UX Designer</v>
      </c>
      <c r="E6" s="3">
        <f>CPM!$G6+1</f>
        <v>3</v>
      </c>
      <c r="F6" s="3">
        <f>CPM!$E6</f>
        <v>3</v>
      </c>
      <c r="G6" s="3">
        <f>MAX(G5+H5)</f>
        <v>3</v>
      </c>
      <c r="H6" s="3">
        <f>F6+SUMIF($B$19:$B$19,CPM!$B6,$C$19:$C$19)</f>
        <v>3</v>
      </c>
      <c r="I6" s="4">
        <f t="shared" si="0"/>
        <v>0.66666666666666663</v>
      </c>
    </row>
    <row r="7" spans="2:22" ht="30" customHeight="1" x14ac:dyDescent="0.35">
      <c r="B7" s="2" t="str">
        <f>CPM!$B7&amp;". "&amp;CPM!$C7</f>
        <v>C. Xây dựng CSDL &amp; Backend</v>
      </c>
      <c r="C7" s="3" t="str">
        <f>CPM!$D7</f>
        <v>A</v>
      </c>
      <c r="D7" s="3" t="str">
        <f>CPM!$F7</f>
        <v>Backend Developer</v>
      </c>
      <c r="E7" s="3">
        <f>CPM!$G7+1</f>
        <v>3</v>
      </c>
      <c r="F7" s="3">
        <f>CPM!$E7</f>
        <v>4</v>
      </c>
      <c r="G7" s="3">
        <f>MAX(G5+H5)</f>
        <v>3</v>
      </c>
      <c r="H7" s="3">
        <f>F7+SUMIF($B$19:$B$19,CPM!$B7,$C$19:$C$19)</f>
        <v>5</v>
      </c>
      <c r="I7" s="4">
        <f t="shared" si="0"/>
        <v>0.4</v>
      </c>
    </row>
    <row r="8" spans="2:22" ht="30" customHeight="1" x14ac:dyDescent="0.35">
      <c r="B8" s="2" t="str">
        <f>CPM!$B8&amp;". "&amp;CPM!$C8</f>
        <v>D. Lập trình tính năng Frontend</v>
      </c>
      <c r="C8" s="3" t="str">
        <f>CPM!$D8</f>
        <v>B, C</v>
      </c>
      <c r="D8" s="3" t="str">
        <f>CPM!$F8</f>
        <v>Frontend Developer</v>
      </c>
      <c r="E8" s="3">
        <f>CPM!$G8+1</f>
        <v>7</v>
      </c>
      <c r="F8" s="3">
        <f>CPM!$E8</f>
        <v>3</v>
      </c>
      <c r="G8" s="3">
        <f>MAX(G6+H6,G7+H7)</f>
        <v>8</v>
      </c>
      <c r="H8" s="3">
        <f>F8+SUMIF($B$19:$B$19,CPM!$B8,$C$19:$C$19)</f>
        <v>3</v>
      </c>
      <c r="I8" s="4">
        <f t="shared" si="0"/>
        <v>0</v>
      </c>
    </row>
    <row r="9" spans="2:22" ht="30" customHeight="1" x14ac:dyDescent="0.35">
      <c r="B9" s="2" t="str">
        <f>CPM!$B9&amp;". "&amp;CPM!$C9</f>
        <v>E. Kiểm thử tích hợp &amp; Sửa lỗi (UAT)</v>
      </c>
      <c r="C9" s="3" t="str">
        <f>CPM!$D9</f>
        <v>D</v>
      </c>
      <c r="D9" s="3" t="str">
        <f>CPM!$F9</f>
        <v>Tester &amp; Developer</v>
      </c>
      <c r="E9" s="3">
        <f>CPM!$G9+1</f>
        <v>10</v>
      </c>
      <c r="F9" s="3">
        <f>CPM!$E9</f>
        <v>2</v>
      </c>
      <c r="G9" s="3">
        <f>MAX(G8+H8)</f>
        <v>11</v>
      </c>
      <c r="H9" s="3">
        <f>F9+SUMIF($B$19:$B$19,CPM!$B9,$C$19:$C$19)</f>
        <v>2</v>
      </c>
      <c r="I9" s="4">
        <f t="shared" si="0"/>
        <v>0</v>
      </c>
    </row>
    <row r="10" spans="2:22" ht="30" customHeight="1" x14ac:dyDescent="0.35">
      <c r="B10" s="2" t="str">
        <f>CPM!$B10&amp;". "&amp;CPM!$C10</f>
        <v>F. Đóng gói &amp; Triển khai Production</v>
      </c>
      <c r="C10" s="3" t="str">
        <f>CPM!$D10</f>
        <v>E</v>
      </c>
      <c r="D10" s="3" t="str">
        <f>CPM!$F10</f>
        <v>DevOps Engineer</v>
      </c>
      <c r="E10" s="3">
        <f>CPM!$G10+1</f>
        <v>12</v>
      </c>
      <c r="F10" s="3">
        <f>CPM!$E10</f>
        <v>1</v>
      </c>
      <c r="G10" s="3">
        <f>MAX(G9+H9)</f>
        <v>13</v>
      </c>
      <c r="H10" s="3">
        <f>F10+SUMIF($B$19:$B$19,CPM!$B10,$C$19:$C$19)</f>
        <v>1</v>
      </c>
      <c r="I10" s="4">
        <f t="shared" si="0"/>
        <v>0</v>
      </c>
    </row>
    <row r="11" spans="2:22" ht="22.05" customHeight="1" x14ac:dyDescent="0.3">
      <c r="B11" s="16" t="s">
        <v>12</v>
      </c>
      <c r="J11" s="17">
        <f t="shared" ref="J11:V11" si="1">SUMPRODUCT((J$4&gt;=$E$5:$E$10)*(J$4&lt;=$E$5:$E$10+$F$5:$F$10-1))</f>
        <v>1</v>
      </c>
      <c r="K11" s="17">
        <f t="shared" si="1"/>
        <v>1</v>
      </c>
      <c r="L11" s="17">
        <f t="shared" si="1"/>
        <v>2</v>
      </c>
      <c r="M11" s="17">
        <f t="shared" si="1"/>
        <v>2</v>
      </c>
      <c r="N11" s="17">
        <f t="shared" si="1"/>
        <v>2</v>
      </c>
      <c r="O11" s="17">
        <f t="shared" si="1"/>
        <v>1</v>
      </c>
      <c r="P11" s="17">
        <f t="shared" si="1"/>
        <v>1</v>
      </c>
      <c r="Q11" s="17">
        <f t="shared" si="1"/>
        <v>1</v>
      </c>
      <c r="R11" s="17">
        <f t="shared" si="1"/>
        <v>1</v>
      </c>
      <c r="S11" s="17">
        <f t="shared" si="1"/>
        <v>1</v>
      </c>
      <c r="T11" s="17">
        <f t="shared" si="1"/>
        <v>1</v>
      </c>
      <c r="U11" s="17">
        <f t="shared" si="1"/>
        <v>1</v>
      </c>
      <c r="V11" s="17">
        <f t="shared" si="1"/>
        <v>0</v>
      </c>
    </row>
    <row r="12" spans="2:22" ht="22.05" customHeight="1" x14ac:dyDescent="0.3">
      <c r="B12" s="16" t="s">
        <v>17</v>
      </c>
      <c r="J12" s="17">
        <f t="shared" ref="J12:V12" si="2">SUMPRODUCT((J$4&gt;=$G$5:$G$10)*(J$4&lt;=$G$5:$G$10+$H$5:$H$10-1))</f>
        <v>1</v>
      </c>
      <c r="K12" s="17">
        <f t="shared" si="2"/>
        <v>1</v>
      </c>
      <c r="L12" s="17">
        <f t="shared" si="2"/>
        <v>2</v>
      </c>
      <c r="M12" s="17">
        <f t="shared" si="2"/>
        <v>2</v>
      </c>
      <c r="N12" s="17">
        <f t="shared" si="2"/>
        <v>2</v>
      </c>
      <c r="O12" s="17">
        <f t="shared" si="2"/>
        <v>1</v>
      </c>
      <c r="P12" s="17">
        <f t="shared" si="2"/>
        <v>1</v>
      </c>
      <c r="Q12" s="17">
        <f t="shared" si="2"/>
        <v>1</v>
      </c>
      <c r="R12" s="17">
        <f t="shared" si="2"/>
        <v>1</v>
      </c>
      <c r="S12" s="17">
        <f t="shared" si="2"/>
        <v>1</v>
      </c>
      <c r="T12" s="17">
        <f t="shared" si="2"/>
        <v>1</v>
      </c>
      <c r="U12" s="17">
        <f t="shared" si="2"/>
        <v>1</v>
      </c>
      <c r="V12" s="17">
        <f t="shared" si="2"/>
        <v>1</v>
      </c>
    </row>
    <row r="13" spans="2:22" ht="7.95" customHeight="1" x14ac:dyDescent="0.3"/>
    <row r="14" spans="2:22" ht="18" customHeight="1" x14ac:dyDescent="0.3">
      <c r="J14" s="13" t="s">
        <v>13</v>
      </c>
    </row>
    <row r="15" spans="2:22" ht="21" customHeight="1" x14ac:dyDescent="0.3">
      <c r="B15" s="18" t="str">
        <f t="array" ref="B15">"Kết thúc dự án: Plan Tuần "&amp;MAX(E5:E10+F5:F10-1)&amp;" → Actual Tuần "&amp;MAX(G5:G10+H5:H10-1)&amp;" (chênh "&amp;(MAX(G5:G10+H5:H10-1)-MAX(E5:E10+F5:F10-1))&amp;" tuần)"</f>
        <v>Kết thúc dự án: Plan Tuần 12 → Actual Tuần 13 (chênh 1 tuần)</v>
      </c>
      <c r="J15" s="8"/>
      <c r="K15" s="19" t="s">
        <v>18</v>
      </c>
    </row>
    <row r="16" spans="2:22" ht="21" customHeight="1" x14ac:dyDescent="0.3">
      <c r="B16" s="18" t="str">
        <f t="array" ref="B16">"Tuần "&amp;$J$2&amp;": đang thực hiện "&amp;_xlfn.TEXTJOIN(", ",TRUE,IF(($J$2&gt;=G5:G10)*($J$2&lt;=G5:G10+H5:H10-1),CPM!$B$5:$B$10,""))&amp;" · % Complete tính đến hết Tuần "&amp;$J$2</f>
        <v>Tuần 4: đang thực hiện B, C · % Complete tính đến hết Tuần 4</v>
      </c>
      <c r="J16" s="9"/>
      <c r="K16" s="19" t="s">
        <v>19</v>
      </c>
    </row>
    <row r="17" spans="2:11" ht="21" customHeight="1" x14ac:dyDescent="0.3">
      <c r="J17" s="11"/>
      <c r="K17" s="19" t="s">
        <v>20</v>
      </c>
    </row>
    <row r="18" spans="2:11" ht="21" customHeight="1" x14ac:dyDescent="0.3">
      <c r="B18" s="20" t="s">
        <v>21</v>
      </c>
      <c r="J18" s="10"/>
      <c r="K18" s="19" t="s">
        <v>22</v>
      </c>
    </row>
    <row r="19" spans="2:11" ht="21" customHeight="1" x14ac:dyDescent="0.3">
      <c r="B19" s="20" t="s">
        <v>23</v>
      </c>
      <c r="C19" s="7">
        <v>1</v>
      </c>
      <c r="J19" s="12"/>
      <c r="K19" s="19" t="s">
        <v>24</v>
      </c>
    </row>
    <row r="20" spans="2:11" ht="21" customHeight="1" x14ac:dyDescent="0.3">
      <c r="J20" s="7"/>
      <c r="K20" s="19" t="s">
        <v>15</v>
      </c>
    </row>
  </sheetData>
  <mergeCells count="9">
    <mergeCell ref="H2:I2"/>
    <mergeCell ref="C3:C4"/>
    <mergeCell ref="B3:B4"/>
    <mergeCell ref="G3:G4"/>
    <mergeCell ref="E3:E4"/>
    <mergeCell ref="H3:H4"/>
    <mergeCell ref="F3:F4"/>
    <mergeCell ref="D3:D4"/>
    <mergeCell ref="I3:I4"/>
  </mergeCells>
  <conditionalFormatting sqref="B11:V11">
    <cfRule type="expression" dxfId="12" priority="2">
      <formula>TRUE</formula>
    </cfRule>
  </conditionalFormatting>
  <conditionalFormatting sqref="J4:V4">
    <cfRule type="expression" dxfId="11" priority="8">
      <formula>J$4=$J$2</formula>
    </cfRule>
  </conditionalFormatting>
  <conditionalFormatting sqref="J5:V10">
    <cfRule type="expression" dxfId="10" priority="1">
      <formula>((J$4=MEDIAN(J$4,$G5,$G5+$H5)*($G5&gt;0))*((J$4&lt;(INT($G5+$H5*$I5)))+(J$4=$G5))*($I5&gt;0))*(J$4=MEDIAN(J$4,$E5,$E5+$F5-1))</formula>
    </cfRule>
    <cfRule type="expression" dxfId="9" priority="3">
      <formula>(J$4=MEDIAN(J$4,$G5,$G5+$H5)*($G5&gt;0))*((J$4&lt;(INT($G5+$H5*$I5)))+(J$4=$G5))*($I5&gt;0)</formula>
    </cfRule>
    <cfRule type="expression" dxfId="8" priority="4">
      <formula>((J$4=MEDIAN(J$4,$G5,$G5+$H5-1))*($G5&gt;0))*(J$4=MEDIAN(J$4,$E5,$E5+$F5-1))</formula>
    </cfRule>
    <cfRule type="expression" dxfId="7" priority="5">
      <formula>(J$4=MEDIAN(J$4,$G5,$G5+$H5-1))*($G5&gt;0)</formula>
    </cfRule>
    <cfRule type="expression" dxfId="6" priority="6">
      <formula>(J$4=MEDIAN(J$4,$E5,$E5+$F5-1))*($E5&gt;0)</formula>
    </cfRule>
    <cfRule type="expression" dxfId="5" priority="11">
      <formula>MOD(COLUMN(),2)</formula>
    </cfRule>
    <cfRule type="expression" dxfId="4" priority="12">
      <formula>MOD(COLUMN(),2)=0</formula>
    </cfRule>
  </conditionalFormatting>
  <conditionalFormatting sqref="J5:V12">
    <cfRule type="expression" dxfId="3" priority="7">
      <formula>J$4=$J$2</formula>
    </cfRule>
  </conditionalFormatting>
  <conditionalFormatting sqref="J11:V12">
    <cfRule type="expression" dxfId="2" priority="10">
      <formula>J11&gt;=2</formula>
    </cfRule>
  </conditionalFormatting>
  <dataValidations count="1">
    <dataValidation type="list" errorStyle="warning" allowBlank="1" showErrorMessage="1" error="Nhập số tuần từ 1 đến 13." promptTitle="Period Highlight" prompt="Chọn tuần 1–13 để highlight cột đó trên Gantt chart." sqref="J2" xr:uid="{00000000-0002-0000-0100-000000000000}">
      <formula1>"1,2,3,4,5,6,7,8,9,10,11,12,13"</formula1>
    </dataValidation>
  </dataValidations>
  <printOptions horizontalCentered="1"/>
  <pageMargins left="0.45" right="0.45" top="0.5" bottom="0.5" header="0.3" footer="0.3"/>
  <pageSetup paperSize="9" fitToHeight="0" orientation="landscape"/>
  <headerFooter>
    <oddFooter>&amp;CTrang &amp;P /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00000000-000E-0000-0100-000009000000}">
            <xm:f>ABS(CPM!$K5)&lt;0.0001</xm:f>
            <x14:dxf>
              <font>
                <b/>
                <color theme="8"/>
              </font>
            </x14:dxf>
          </x14:cfRule>
          <xm:sqref>B5:B10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  <pageSetUpPr fitToPage="1"/>
  </sheetPr>
  <dimension ref="A1:N16"/>
  <sheetViews>
    <sheetView showGridLines="0" workbookViewId="0"/>
  </sheetViews>
  <sheetFormatPr defaultRowHeight="30" customHeight="1" x14ac:dyDescent="0.3"/>
  <cols>
    <col min="1" max="1" width="2.6640625" style="15" customWidth="1"/>
    <col min="2" max="2" width="7" style="15" customWidth="1"/>
    <col min="3" max="3" width="38" style="15" customWidth="1"/>
    <col min="4" max="4" width="14" style="15" customWidth="1"/>
    <col min="5" max="5" width="12" style="15" customWidth="1"/>
    <col min="6" max="6" width="24" style="15" customWidth="1"/>
    <col min="7" max="10" width="8" style="15" customWidth="1"/>
    <col min="11" max="12" width="9" style="15" customWidth="1"/>
    <col min="13" max="13" width="11" style="15" customWidth="1"/>
    <col min="14" max="14" width="10" style="15" customWidth="1"/>
  </cols>
  <sheetData>
    <row r="1" spans="2:14" ht="48" customHeight="1" x14ac:dyDescent="0.3">
      <c r="B1" s="21" t="s">
        <v>25</v>
      </c>
    </row>
    <row r="2" spans="2:14" ht="21" customHeight="1" x14ac:dyDescent="0.3">
      <c r="B2" s="14" t="s">
        <v>26</v>
      </c>
    </row>
    <row r="3" spans="2:14" ht="39.9" customHeight="1" x14ac:dyDescent="0.3">
      <c r="B3" s="28" t="s">
        <v>27</v>
      </c>
      <c r="C3" s="28" t="s">
        <v>3</v>
      </c>
      <c r="D3" s="28" t="s">
        <v>4</v>
      </c>
      <c r="E3" s="28" t="s">
        <v>28</v>
      </c>
      <c r="F3" s="28" t="s">
        <v>5</v>
      </c>
      <c r="G3" s="28" t="s">
        <v>29</v>
      </c>
      <c r="H3" s="28" t="s">
        <v>30</v>
      </c>
      <c r="I3" s="28" t="s">
        <v>31</v>
      </c>
      <c r="J3" s="28" t="s">
        <v>32</v>
      </c>
      <c r="K3" s="28" t="s">
        <v>33</v>
      </c>
      <c r="L3" s="28" t="s">
        <v>34</v>
      </c>
      <c r="M3" s="28" t="s">
        <v>35</v>
      </c>
      <c r="N3" s="28" t="s">
        <v>11</v>
      </c>
    </row>
    <row r="4" spans="2:14" ht="15.75" customHeight="1" x14ac:dyDescent="0.3"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2:14" ht="30" customHeight="1" x14ac:dyDescent="0.35">
      <c r="B5" s="22" t="s">
        <v>36</v>
      </c>
      <c r="C5" s="23" t="s">
        <v>37</v>
      </c>
      <c r="D5" s="3" t="s">
        <v>38</v>
      </c>
      <c r="E5" s="3">
        <v>2</v>
      </c>
      <c r="F5" s="23" t="s">
        <v>39</v>
      </c>
      <c r="G5" s="3">
        <f>0</f>
        <v>0</v>
      </c>
      <c r="H5" s="3">
        <f t="shared" ref="H5:H10" si="0">G5+E5</f>
        <v>2</v>
      </c>
      <c r="I5" s="3">
        <f t="shared" ref="I5:I10" si="1">J5-E5</f>
        <v>0</v>
      </c>
      <c r="J5" s="3">
        <f>MIN(I6,I7)</f>
        <v>2</v>
      </c>
      <c r="K5" s="3">
        <f t="shared" ref="K5:K10" si="2">I5-G5</f>
        <v>0</v>
      </c>
      <c r="L5" s="3">
        <f>MIN(G6,G7)-H5</f>
        <v>0</v>
      </c>
      <c r="M5" s="3" t="str">
        <f t="shared" ref="M5:M10" si="3">IF(ABS(K5)&lt;0.0001,"Critical","")</f>
        <v>Critical</v>
      </c>
      <c r="N5" s="3" t="str">
        <f t="shared" ref="N5:N10" si="4">IF(E5=0,"Milestone",(G5+1)&amp;IF(E5&gt;1,"–"&amp;H5,""))</f>
        <v>1–2</v>
      </c>
    </row>
    <row r="6" spans="2:14" ht="30" customHeight="1" x14ac:dyDescent="0.35">
      <c r="B6" s="22" t="s">
        <v>40</v>
      </c>
      <c r="C6" s="23" t="s">
        <v>41</v>
      </c>
      <c r="D6" s="3" t="s">
        <v>36</v>
      </c>
      <c r="E6" s="3">
        <v>3</v>
      </c>
      <c r="F6" s="23" t="s">
        <v>42</v>
      </c>
      <c r="G6" s="3">
        <f>MAX(H5)</f>
        <v>2</v>
      </c>
      <c r="H6" s="3">
        <f t="shared" si="0"/>
        <v>5</v>
      </c>
      <c r="I6" s="3">
        <f t="shared" si="1"/>
        <v>3</v>
      </c>
      <c r="J6" s="3">
        <f>MIN(I8)</f>
        <v>6</v>
      </c>
      <c r="K6" s="3">
        <f t="shared" si="2"/>
        <v>1</v>
      </c>
      <c r="L6" s="3">
        <f>MIN(G8)-H6</f>
        <v>1</v>
      </c>
      <c r="M6" s="3" t="str">
        <f t="shared" si="3"/>
        <v/>
      </c>
      <c r="N6" s="3" t="str">
        <f t="shared" si="4"/>
        <v>3–5</v>
      </c>
    </row>
    <row r="7" spans="2:14" ht="30" customHeight="1" x14ac:dyDescent="0.35">
      <c r="B7" s="22" t="s">
        <v>23</v>
      </c>
      <c r="C7" s="23" t="s">
        <v>43</v>
      </c>
      <c r="D7" s="3" t="s">
        <v>36</v>
      </c>
      <c r="E7" s="3">
        <v>4</v>
      </c>
      <c r="F7" s="23" t="s">
        <v>44</v>
      </c>
      <c r="G7" s="3">
        <f>MAX(H5)</f>
        <v>2</v>
      </c>
      <c r="H7" s="3">
        <f t="shared" si="0"/>
        <v>6</v>
      </c>
      <c r="I7" s="3">
        <f t="shared" si="1"/>
        <v>2</v>
      </c>
      <c r="J7" s="3">
        <f>MIN(I8)</f>
        <v>6</v>
      </c>
      <c r="K7" s="3">
        <f t="shared" si="2"/>
        <v>0</v>
      </c>
      <c r="L7" s="3">
        <f>MIN(G8)-H7</f>
        <v>0</v>
      </c>
      <c r="M7" s="3" t="str">
        <f t="shared" si="3"/>
        <v>Critical</v>
      </c>
      <c r="N7" s="3" t="str">
        <f t="shared" si="4"/>
        <v>3–6</v>
      </c>
    </row>
    <row r="8" spans="2:14" ht="30" customHeight="1" x14ac:dyDescent="0.35">
      <c r="B8" s="22" t="s">
        <v>45</v>
      </c>
      <c r="C8" s="23" t="s">
        <v>46</v>
      </c>
      <c r="D8" s="3" t="s">
        <v>47</v>
      </c>
      <c r="E8" s="3">
        <v>3</v>
      </c>
      <c r="F8" s="23" t="s">
        <v>48</v>
      </c>
      <c r="G8" s="3">
        <f>MAX(H6,H7)</f>
        <v>6</v>
      </c>
      <c r="H8" s="3">
        <f t="shared" si="0"/>
        <v>9</v>
      </c>
      <c r="I8" s="3">
        <f t="shared" si="1"/>
        <v>6</v>
      </c>
      <c r="J8" s="3">
        <f>MIN(I9)</f>
        <v>9</v>
      </c>
      <c r="K8" s="3">
        <f t="shared" si="2"/>
        <v>0</v>
      </c>
      <c r="L8" s="3">
        <f>MIN(G9)-H8</f>
        <v>0</v>
      </c>
      <c r="M8" s="3" t="str">
        <f t="shared" si="3"/>
        <v>Critical</v>
      </c>
      <c r="N8" s="3" t="str">
        <f t="shared" si="4"/>
        <v>7–9</v>
      </c>
    </row>
    <row r="9" spans="2:14" ht="30" customHeight="1" x14ac:dyDescent="0.35">
      <c r="B9" s="22" t="s">
        <v>49</v>
      </c>
      <c r="C9" s="23" t="s">
        <v>50</v>
      </c>
      <c r="D9" s="3" t="s">
        <v>45</v>
      </c>
      <c r="E9" s="3">
        <v>2</v>
      </c>
      <c r="F9" s="23" t="s">
        <v>51</v>
      </c>
      <c r="G9" s="3">
        <f>MAX(H8)</f>
        <v>9</v>
      </c>
      <c r="H9" s="3">
        <f t="shared" si="0"/>
        <v>11</v>
      </c>
      <c r="I9" s="3">
        <f t="shared" si="1"/>
        <v>9</v>
      </c>
      <c r="J9" s="3">
        <f>MIN(I10)</f>
        <v>11</v>
      </c>
      <c r="K9" s="3">
        <f t="shared" si="2"/>
        <v>0</v>
      </c>
      <c r="L9" s="3">
        <f>MIN(G10)-H9</f>
        <v>0</v>
      </c>
      <c r="M9" s="3" t="str">
        <f t="shared" si="3"/>
        <v>Critical</v>
      </c>
      <c r="N9" s="3" t="str">
        <f t="shared" si="4"/>
        <v>10–11</v>
      </c>
    </row>
    <row r="10" spans="2:14" ht="30" customHeight="1" x14ac:dyDescent="0.35">
      <c r="B10" s="24" t="s">
        <v>52</v>
      </c>
      <c r="C10" s="25" t="s">
        <v>53</v>
      </c>
      <c r="D10" s="26" t="s">
        <v>49</v>
      </c>
      <c r="E10" s="26">
        <v>1</v>
      </c>
      <c r="F10" s="25" t="s">
        <v>54</v>
      </c>
      <c r="G10" s="26">
        <f>MAX(H9)</f>
        <v>11</v>
      </c>
      <c r="H10" s="26">
        <f t="shared" si="0"/>
        <v>12</v>
      </c>
      <c r="I10" s="26">
        <f t="shared" si="1"/>
        <v>11</v>
      </c>
      <c r="J10" s="26">
        <f>MAX($H$5:$H$10)</f>
        <v>12</v>
      </c>
      <c r="K10" s="26">
        <f t="shared" si="2"/>
        <v>0</v>
      </c>
      <c r="L10" s="26">
        <f>MAX($H$5:$H$10)-H10</f>
        <v>0</v>
      </c>
      <c r="M10" s="26" t="str">
        <f t="shared" si="3"/>
        <v>Critical</v>
      </c>
      <c r="N10" s="26" t="str">
        <f t="shared" si="4"/>
        <v>12</v>
      </c>
    </row>
    <row r="11" spans="2:14" ht="7.95" customHeight="1" x14ac:dyDescent="0.3"/>
    <row r="12" spans="2:14" ht="14.4" x14ac:dyDescent="0.3">
      <c r="B12" s="27" t="s">
        <v>55</v>
      </c>
    </row>
    <row r="13" spans="2:14" ht="24" customHeight="1" x14ac:dyDescent="0.3">
      <c r="C13" s="20" t="s">
        <v>56</v>
      </c>
      <c r="D13" s="7">
        <f>MAX(H5:H10)</f>
        <v>12</v>
      </c>
    </row>
    <row r="14" spans="2:14" ht="24" customHeight="1" x14ac:dyDescent="0.3">
      <c r="C14" s="20" t="s">
        <v>57</v>
      </c>
      <c r="D14" s="33" t="str">
        <f t="array" ref="D14">_xlfn.TEXTJOIN(" → ",TRUE,IF(ABS(K5:K10)&lt;0.0001,B5:B10,""))</f>
        <v>A → C → D → E → F</v>
      </c>
      <c r="E14" s="32"/>
      <c r="F14" s="32"/>
    </row>
    <row r="15" spans="2:14" ht="24" customHeight="1" x14ac:dyDescent="0.3">
      <c r="C15" s="20" t="s">
        <v>58</v>
      </c>
      <c r="D15" s="7">
        <f>E5+E7+E8+E9+E10</f>
        <v>12</v>
      </c>
    </row>
    <row r="16" spans="2:14" ht="24" customHeight="1" x14ac:dyDescent="0.3">
      <c r="C16" s="20" t="s">
        <v>59</v>
      </c>
      <c r="D16" s="7">
        <f>E5+E6+E8+E9+E10</f>
        <v>11</v>
      </c>
    </row>
  </sheetData>
  <mergeCells count="14">
    <mergeCell ref="M3:M4"/>
    <mergeCell ref="N3:N4"/>
    <mergeCell ref="L3:L4"/>
    <mergeCell ref="H3:H4"/>
    <mergeCell ref="F3:F4"/>
    <mergeCell ref="D3:D4"/>
    <mergeCell ref="I3:I4"/>
    <mergeCell ref="J3:J4"/>
    <mergeCell ref="D14:F14"/>
    <mergeCell ref="K3:K4"/>
    <mergeCell ref="C3:C4"/>
    <mergeCell ref="B3:B4"/>
    <mergeCell ref="G3:G4"/>
    <mergeCell ref="E3:E4"/>
  </mergeCells>
  <conditionalFormatting sqref="B5:C10">
    <cfRule type="expression" dxfId="1" priority="1">
      <formula>ABS($K5)&lt;0.0001</formula>
    </cfRule>
  </conditionalFormatting>
  <conditionalFormatting sqref="M5:M10">
    <cfRule type="expression" dxfId="0" priority="2">
      <formula>ABS($K5)&lt;0.0001</formula>
    </cfRule>
  </conditionalFormatting>
  <printOptions horizontalCentered="1"/>
  <pageMargins left="0.45" right="0.45" top="0.5" bottom="0.5" header="0.3" footer="0.3"/>
  <pageSetup paperSize="9" fitToHeight="0" orientation="landscape"/>
  <headerFooter>
    <oddFooter>&amp;CTrang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Gantt - Baseline</vt:lpstr>
      <vt:lpstr>Gantt - Plan vs Actual</vt:lpstr>
      <vt:lpstr>CPM</vt:lpstr>
      <vt:lpstr>CPM!Print_Area</vt:lpstr>
      <vt:lpstr>'Gantt - Baseline'!Print_Area</vt:lpstr>
      <vt:lpstr>'Gantt - Plan vs Actual'!Print_Area</vt:lpstr>
      <vt:lpstr>'Gantt - Baseline'!Print_Titles</vt:lpstr>
      <vt:lpstr>'Gantt - Plan vs Actual'!Print_Titles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Gantt – Dự án Web E-commerce – StartCorp</dc:title>
  <dc:creator>Nhóm 1 (trưởng nhóm: Phạm Duy An)</dc:creator>
  <cp:lastModifiedBy>Duy An</cp:lastModifiedBy>
  <dcterms:created xsi:type="dcterms:W3CDTF">2021-12-27T22:08:03Z</dcterms:created>
  <dcterms:modified xsi:type="dcterms:W3CDTF">2026-09-30T07:16:15Z</dcterms:modified>
</cp:coreProperties>
</file>